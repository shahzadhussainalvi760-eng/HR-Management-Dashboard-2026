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aa\Downloads\HR Dashboard by online\"/>
    </mc:Choice>
  </mc:AlternateContent>
  <xr:revisionPtr revIDLastSave="0" documentId="13_ncr:1_{BC2D5E2A-E3E5-4DAC-852B-C150BD4B859C}" xr6:coauthVersionLast="47" xr6:coauthVersionMax="47" xr10:uidLastSave="{00000000-0000-0000-0000-000000000000}"/>
  <bookViews>
    <workbookView xWindow="-110" yWindow="-110" windowWidth="19420" windowHeight="10420" firstSheet="1" activeTab="2" xr2:uid="{5DFFDDB3-2045-44C4-9F3A-B27753F1A306}"/>
  </bookViews>
  <sheets>
    <sheet name="Ethnic" sheetId="2" r:id="rId1"/>
    <sheet name="Headline" sheetId="8" r:id="rId2"/>
    <sheet name="Active Dashboard" sheetId="9" r:id="rId3"/>
    <sheet name="Separation Dashboard" sheetId="10" r:id="rId4"/>
    <sheet name="Separartion" sheetId="6" r:id="rId5"/>
    <sheet name="Tenure Reason" sheetId="7" r:id="rId6"/>
    <sheet name="Region" sheetId="5" r:id="rId7"/>
    <sheet name="Tenure" sheetId="4" r:id="rId8"/>
    <sheet name="Active" sheetId="1" r:id="rId9"/>
  </sheets>
  <definedNames>
    <definedName name="Slicer_BU_Region">#N/A</definedName>
    <definedName name="Slicer_Date__Year">#N/A</definedName>
    <definedName name="Slicer_EthnicGroup">#N/A</definedName>
    <definedName name="Slicer_FP">#N/A</definedName>
    <definedName name="Slicer_Gender">#N/A</definedName>
  </definedNames>
  <calcPr calcId="191029"/>
  <pivotCaches>
    <pivotCache cacheId="224" r:id="rId10"/>
    <pivotCache cacheId="270" r:id="rId11"/>
    <pivotCache cacheId="253" r:id="rId12"/>
    <pivotCache cacheId="255" r:id="rId13"/>
    <pivotCache cacheId="257" r:id="rId14"/>
    <pivotCache cacheId="259" r:id="rId15"/>
    <pivotCache cacheId="261" r:id="rId16"/>
    <pivotCache cacheId="263" r:id="rId17"/>
    <pivotCache cacheId="268" r:id="rId18"/>
    <pivotCache cacheId="266" r:id="rId19"/>
    <pivotCache cacheId="279" r:id="rId20"/>
  </pivotCaches>
  <extLst>
    <ext xmlns:x14="http://schemas.microsoft.com/office/spreadsheetml/2009/9/main" uri="{876F7934-8845-4945-9796-88D515C7AA90}">
      <x14:pivotCaches>
        <pivotCache cacheId="128" r:id="rId21"/>
        <pivotCache cacheId="13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Data_ae553ba9-4c58-4c48-ac8e-4f2df75295ba" name="HR Data" connection="Query - HR Data"/>
        </x15:modelTables>
        <x15:extLst>
          <ext xmlns:x16="http://schemas.microsoft.com/office/spreadsheetml/2014/11/main" uri="{9835A34E-60A6-4A7C-AAB8-D5F71C897F49}">
            <x16:modelTimeGroupings>
              <x16:modelTimeGrouping tableName="HR 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9" l="1"/>
  <c r="T5" i="9"/>
  <c r="S5" i="9"/>
  <c r="N5" i="9"/>
  <c r="N4" i="9"/>
  <c r="M5" i="9"/>
  <c r="M4" i="9"/>
  <c r="K5" i="9"/>
  <c r="K4" i="9"/>
  <c r="J5" i="9"/>
  <c r="J4" i="9"/>
  <c r="H5" i="9"/>
  <c r="G5" i="9"/>
  <c r="F5" i="9"/>
  <c r="H1" i="9" l="1"/>
  <c r="G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EAFEA3-4163-426B-8187-2CA0976ADDE6}" name="Query - HR Data" description="Connection to the 'HR Data' query in the workbook." type="100" refreshedVersion="8" minRefreshableVersion="5">
    <extLst>
      <ext xmlns:x15="http://schemas.microsoft.com/office/spreadsheetml/2010/11/main" uri="{DE250136-89BD-433C-8126-D09CA5730AF9}">
        <x15:connection id="224cdcad-42ab-4717-a2e1-7d1cc0cb2d2b"/>
      </ext>
    </extLst>
  </connection>
  <connection id="2" xr16:uid="{A73D349C-3293-42F1-AF86-84C1124F3A6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35241A7D-D3A4-4B98-9459-EB7449AA458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32C9E859-6088-44F0-A3AC-47F1BD50F8B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631BA01-5AFB-4193-B522-3ADCCE21AC0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E8083C8F-0457-4AE7-84C2-C3C0D03107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<sst xmlns="http://schemas.openxmlformats.org/spreadsheetml/2006/main" count="140" uniqueCount="51">
  <si>
    <t>Row Labels</t>
  </si>
  <si>
    <t>Grand Total</t>
  </si>
  <si>
    <t>2015</t>
  </si>
  <si>
    <t>2016</t>
  </si>
  <si>
    <t>2017</t>
  </si>
  <si>
    <t>2018</t>
  </si>
  <si>
    <t>Qtr1</t>
  </si>
  <si>
    <t>Qtr2</t>
  </si>
  <si>
    <t>Qtr3</t>
  </si>
  <si>
    <t>Qtr4</t>
  </si>
  <si>
    <t>2015 Total</t>
  </si>
  <si>
    <t>Active Employ</t>
  </si>
  <si>
    <t>New Employ</t>
  </si>
  <si>
    <t>2016 Total</t>
  </si>
  <si>
    <t>2017 Total</t>
  </si>
  <si>
    <t>2018 Total</t>
  </si>
  <si>
    <t>Group A</t>
  </si>
  <si>
    <t>Group B</t>
  </si>
  <si>
    <t>Group C</t>
  </si>
  <si>
    <t>Group D</t>
  </si>
  <si>
    <t>Group E</t>
  </si>
  <si>
    <t>Group F</t>
  </si>
  <si>
    <t>Group G</t>
  </si>
  <si>
    <t>Female</t>
  </si>
  <si>
    <t>Male</t>
  </si>
  <si>
    <t>Column Labels</t>
  </si>
  <si>
    <t>FT</t>
  </si>
  <si>
    <t>PT</t>
  </si>
  <si>
    <t>Avg Tenure Month</t>
  </si>
  <si>
    <t>Central</t>
  </si>
  <si>
    <t>East</t>
  </si>
  <si>
    <t>Midwest</t>
  </si>
  <si>
    <t>North</t>
  </si>
  <si>
    <t>Northwest</t>
  </si>
  <si>
    <t>South</t>
  </si>
  <si>
    <t>West</t>
  </si>
  <si>
    <t>Separation</t>
  </si>
  <si>
    <t>Involuntary</t>
  </si>
  <si>
    <t>Voluntary</t>
  </si>
  <si>
    <t>BadHires</t>
  </si>
  <si>
    <t>HR  Management Dashboard</t>
  </si>
  <si>
    <t>Total Employees</t>
  </si>
  <si>
    <t>Salary</t>
  </si>
  <si>
    <t>Hourly</t>
  </si>
  <si>
    <t xml:space="preserve">Full Time </t>
  </si>
  <si>
    <t>Part Time</t>
  </si>
  <si>
    <t>&lt;30</t>
  </si>
  <si>
    <t>30-49</t>
  </si>
  <si>
    <t>50+</t>
  </si>
  <si>
    <t>To %</t>
  </si>
  <si>
    <t>Tunnover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</si>
</sst>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 x14ac:knownFonts="1">
    <font>
      <sz val="11"/>
      <color theme="1"/>
      <name val="Aptos Narrow"/>
      <family val="2"/>
      <scheme val="minor"/>
    </font>
    <font>
      <sz val="16"/>
      <color theme="1"/>
      <name val="Aptos Narrow"/>
      <family val="2"/>
      <scheme val="minor"/>
    </font>
    <font>
      <b/>
      <sz val="16"/>
      <color theme="3" tint="0.499984740745262"/>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0" fontId="3" fillId="0" borderId="0" xfId="0" applyFont="1"/>
    <xf numFmtId="10" fontId="0" fillId="0" borderId="0" xfId="0" applyNumberFormat="1"/>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NumberFormat="1"/>
    <xf numFmtId="164" fontId="0" fillId="0" borderId="0" xfId="0" applyNumberFormat="1"/>
    <xf numFmtId="0" fontId="0" fillId="0" borderId="0" xfId="0" applyAlignment="1">
      <alignment horizontal="center"/>
    </xf>
  </cellXfs>
  <cellStyles count="1">
    <cellStyle name="Normal" xfId="0" builtinId="0"/>
  </cellStyles>
  <dxfs count="1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4.xml"/><Relationship Id="rId39" Type="http://schemas.openxmlformats.org/officeDocument/2006/relationships/customXml" Target="../customXml/item6.xml"/><Relationship Id="rId21" Type="http://schemas.openxmlformats.org/officeDocument/2006/relationships/pivotCacheDefinition" Target="pivotCache/pivotCacheDefinition1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onnections" Target="connection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11.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1.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[find.xlsx]Headline!PivotTable2</c:name>
    <c:fmtId val="3"/>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91763248695035E-2"/>
          <c:y val="6.3132410172866318E-2"/>
          <c:w val="0.89051048394231624"/>
          <c:h val="0.7286116390623586"/>
        </c:manualLayout>
      </c:layout>
      <c:barChart>
        <c:barDir val="col"/>
        <c:grouping val="clustered"/>
        <c:varyColors val="0"/>
        <c:ser>
          <c:idx val="0"/>
          <c:order val="0"/>
          <c:tx>
            <c:strRef>
              <c:f>Headline!$B$20:$B$21</c:f>
              <c:strCache>
                <c:ptCount val="1"/>
                <c:pt idx="0">
                  <c:v>Female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Headline!$A$22:$A$25</c:f>
              <c:strCache>
                <c:ptCount val="3"/>
                <c:pt idx="0">
                  <c:v>&lt;30</c:v>
                </c:pt>
                <c:pt idx="1">
                  <c:v>30-49</c:v>
                </c:pt>
                <c:pt idx="2">
                  <c:v>50+</c:v>
                </c:pt>
              </c:strCache>
            </c:strRef>
          </c:cat>
          <c:val>
            <c:numRef>
              <c:f>Headline!$B$22:$B$25</c:f>
              <c:numCache>
                <c:formatCode>General</c:formatCode>
                <c:ptCount val="3"/>
                <c:pt idx="0">
                  <c:v>172</c:v>
                </c:pt>
                <c:pt idx="1">
                  <c:v>81</c:v>
                </c:pt>
                <c:pt idx="2">
                  <c:v>44</c:v>
                </c:pt>
              </c:numCache>
            </c:numRef>
          </c:val>
          <c:extLst>
            <c:ext xmlns:c16="http://schemas.microsoft.com/office/drawing/2014/chart" uri="{C3380CC4-5D6E-409C-BE32-E72D297353CC}">
              <c16:uniqueId val="{00000000-E319-425E-8C9B-9590CDF08E36}"/>
            </c:ext>
          </c:extLst>
        </c:ser>
        <c:ser>
          <c:idx val="1"/>
          <c:order val="1"/>
          <c:tx>
            <c:strRef>
              <c:f>Headline!$C$20:$C$21</c:f>
              <c:strCache>
                <c:ptCount val="1"/>
                <c:pt idx="0">
                  <c:v>Male</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Headline!$A$22:$A$25</c:f>
              <c:strCache>
                <c:ptCount val="3"/>
                <c:pt idx="0">
                  <c:v>&lt;30</c:v>
                </c:pt>
                <c:pt idx="1">
                  <c:v>30-49</c:v>
                </c:pt>
                <c:pt idx="2">
                  <c:v>50+</c:v>
                </c:pt>
              </c:strCache>
            </c:strRef>
          </c:cat>
          <c:val>
            <c:numRef>
              <c:f>Headline!$C$22:$C$25</c:f>
              <c:numCache>
                <c:formatCode>General</c:formatCode>
                <c:ptCount val="3"/>
                <c:pt idx="0">
                  <c:v>165</c:v>
                </c:pt>
                <c:pt idx="1">
                  <c:v>105</c:v>
                </c:pt>
                <c:pt idx="2">
                  <c:v>83</c:v>
                </c:pt>
              </c:numCache>
            </c:numRef>
          </c:val>
          <c:extLst>
            <c:ext xmlns:c16="http://schemas.microsoft.com/office/drawing/2014/chart" uri="{C3380CC4-5D6E-409C-BE32-E72D297353CC}">
              <c16:uniqueId val="{00000001-E319-425E-8C9B-9590CDF08E36}"/>
            </c:ext>
          </c:extLst>
        </c:ser>
        <c:dLbls>
          <c:dLblPos val="inEnd"/>
          <c:showLegendKey val="0"/>
          <c:showVal val="1"/>
          <c:showCatName val="0"/>
          <c:showSerName val="0"/>
          <c:showPercent val="0"/>
          <c:showBubbleSize val="0"/>
        </c:dLbls>
        <c:gapWidth val="50"/>
        <c:axId val="509002175"/>
        <c:axId val="508998335"/>
      </c:barChart>
      <c:catAx>
        <c:axId val="50900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98335"/>
        <c:crosses val="autoZero"/>
        <c:auto val="1"/>
        <c:lblAlgn val="ctr"/>
        <c:lblOffset val="100"/>
        <c:noMultiLvlLbl val="0"/>
      </c:catAx>
      <c:valAx>
        <c:axId val="508998335"/>
        <c:scaling>
          <c:orientation val="minMax"/>
        </c:scaling>
        <c:delete val="1"/>
        <c:axPos val="l"/>
        <c:numFmt formatCode="General" sourceLinked="1"/>
        <c:majorTickMark val="none"/>
        <c:minorTickMark val="none"/>
        <c:tickLblPos val="nextTo"/>
        <c:crossAx val="509002175"/>
        <c:crosses val="autoZero"/>
        <c:crossBetween val="between"/>
      </c:valAx>
      <c:spPr>
        <a:noFill/>
        <a:ln>
          <a:noFill/>
        </a:ln>
        <a:effectLst/>
      </c:spPr>
    </c:plotArea>
    <c:legend>
      <c:legendPos val="t"/>
      <c:layout>
        <c:manualLayout>
          <c:xMode val="edge"/>
          <c:yMode val="edge"/>
          <c:x val="0.56549455896664602"/>
          <c:y val="2.2988505747126436E-2"/>
          <c:w val="0.43080819251526142"/>
          <c:h val="0.19396687483030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[find.xlsx]Active!ActiveEmp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
            </a:r>
            <a:r>
              <a:rPr lang="en-US"/>
              <a:t>Active</a:t>
            </a:r>
            <a:r>
              <a:rPr lang="en-US" baseline="0"/>
              <a:t> Employees              </a:t>
            </a:r>
            <a:endParaRPr lang="en-US"/>
          </a:p>
        </c:rich>
      </c:tx>
      <c:layout>
        <c:manualLayout>
          <c:xMode val="edge"/>
          <c:yMode val="edge"/>
          <c:x val="8.544918121882257E-2"/>
          <c:y val="1.6283374061000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63107556581607E-2"/>
          <c:y val="0.13393791293329713"/>
          <c:w val="0.91276563466215943"/>
          <c:h val="0.51011584758801698"/>
        </c:manualLayout>
      </c:layout>
      <c:barChart>
        <c:barDir val="col"/>
        <c:grouping val="clustered"/>
        <c:varyColors val="0"/>
        <c:ser>
          <c:idx val="0"/>
          <c:order val="0"/>
          <c:tx>
            <c:strRef>
              <c:f>Active!$B$1</c:f>
              <c:strCache>
                <c:ptCount val="1"/>
                <c:pt idx="0">
                  <c:v>Active Employ</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Active!$A$2:$A$26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Active!$B$2:$B$26</c:f>
              <c:numCache>
                <c:formatCode>General</c:formatCode>
                <c:ptCount val="16"/>
                <c:pt idx="0">
                  <c:v>229</c:v>
                </c:pt>
                <c:pt idx="1">
                  <c:v>251</c:v>
                </c:pt>
                <c:pt idx="2">
                  <c:v>275</c:v>
                </c:pt>
                <c:pt idx="3">
                  <c:v>300</c:v>
                </c:pt>
                <c:pt idx="4">
                  <c:v>338</c:v>
                </c:pt>
                <c:pt idx="5">
                  <c:v>361</c:v>
                </c:pt>
                <c:pt idx="6">
                  <c:v>403</c:v>
                </c:pt>
                <c:pt idx="7">
                  <c:v>487</c:v>
                </c:pt>
                <c:pt idx="8">
                  <c:v>477</c:v>
                </c:pt>
                <c:pt idx="9">
                  <c:v>488</c:v>
                </c:pt>
                <c:pt idx="10">
                  <c:v>539</c:v>
                </c:pt>
                <c:pt idx="11">
                  <c:v>542</c:v>
                </c:pt>
                <c:pt idx="12">
                  <c:v>559</c:v>
                </c:pt>
                <c:pt idx="13">
                  <c:v>703</c:v>
                </c:pt>
                <c:pt idx="14">
                  <c:v>728</c:v>
                </c:pt>
                <c:pt idx="15">
                  <c:v>650</c:v>
                </c:pt>
              </c:numCache>
            </c:numRef>
          </c:val>
          <c:extLst>
            <c:ext xmlns:c16="http://schemas.microsoft.com/office/drawing/2014/chart" uri="{C3380CC4-5D6E-409C-BE32-E72D297353CC}">
              <c16:uniqueId val="{00000000-E3D4-4B5A-A1F6-6ACE33BE65B6}"/>
            </c:ext>
          </c:extLst>
        </c:ser>
        <c:ser>
          <c:idx val="1"/>
          <c:order val="1"/>
          <c:tx>
            <c:strRef>
              <c:f>Active!$C$1</c:f>
              <c:strCache>
                <c:ptCount val="1"/>
                <c:pt idx="0">
                  <c:v>New Employ</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Active!$A$2:$A$26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Active!$C$2:$C$26</c:f>
              <c:numCache>
                <c:formatCode>#,##0</c:formatCode>
                <c:ptCount val="16"/>
                <c:pt idx="0">
                  <c:v>3</c:v>
                </c:pt>
                <c:pt idx="1">
                  <c:v>21</c:v>
                </c:pt>
                <c:pt idx="2">
                  <c:v>24</c:v>
                </c:pt>
                <c:pt idx="3">
                  <c:v>30</c:v>
                </c:pt>
                <c:pt idx="4">
                  <c:v>37</c:v>
                </c:pt>
                <c:pt idx="5">
                  <c:v>22</c:v>
                </c:pt>
                <c:pt idx="6">
                  <c:v>47</c:v>
                </c:pt>
                <c:pt idx="7">
                  <c:v>74</c:v>
                </c:pt>
                <c:pt idx="8">
                  <c:v>66</c:v>
                </c:pt>
                <c:pt idx="9">
                  <c:v>114</c:v>
                </c:pt>
                <c:pt idx="10">
                  <c:v>176</c:v>
                </c:pt>
                <c:pt idx="11">
                  <c:v>130</c:v>
                </c:pt>
                <c:pt idx="12">
                  <c:v>127</c:v>
                </c:pt>
                <c:pt idx="13">
                  <c:v>298</c:v>
                </c:pt>
                <c:pt idx="14">
                  <c:v>278</c:v>
                </c:pt>
                <c:pt idx="15">
                  <c:v>149</c:v>
                </c:pt>
              </c:numCache>
            </c:numRef>
          </c:val>
          <c:extLst>
            <c:ext xmlns:c16="http://schemas.microsoft.com/office/drawing/2014/chart" uri="{C3380CC4-5D6E-409C-BE32-E72D297353CC}">
              <c16:uniqueId val="{00000001-E3D4-4B5A-A1F6-6ACE33BE65B6}"/>
            </c:ext>
          </c:extLst>
        </c:ser>
        <c:dLbls>
          <c:dLblPos val="outEnd"/>
          <c:showLegendKey val="0"/>
          <c:showVal val="1"/>
          <c:showCatName val="0"/>
          <c:showSerName val="0"/>
          <c:showPercent val="0"/>
          <c:showBubbleSize val="0"/>
        </c:dLbls>
        <c:gapWidth val="50"/>
        <c:overlap val="100"/>
        <c:axId val="503157456"/>
        <c:axId val="503163216"/>
      </c:barChart>
      <c:catAx>
        <c:axId val="50315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63216"/>
        <c:crosses val="autoZero"/>
        <c:auto val="1"/>
        <c:lblAlgn val="ctr"/>
        <c:lblOffset val="100"/>
        <c:noMultiLvlLbl val="0"/>
      </c:catAx>
      <c:valAx>
        <c:axId val="50316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57456"/>
        <c:crosses val="autoZero"/>
        <c:crossBetween val="between"/>
      </c:valAx>
      <c:spPr>
        <a:noFill/>
        <a:ln>
          <a:noFill/>
        </a:ln>
        <a:effectLst/>
      </c:spPr>
    </c:plotArea>
    <c:legend>
      <c:legendPos val="t"/>
      <c:legendEntry>
        <c:idx val="1"/>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Entry>
      <c:layout>
        <c:manualLayout>
          <c:xMode val="edge"/>
          <c:yMode val="edge"/>
          <c:x val="0.64295024116749799"/>
          <c:y val="2.7777777777777776E-2"/>
          <c:w val="0.34656008574844377"/>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[find.xlsx]Ethnic!EthnicGroup</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Employees by EthnicGroup</a:t>
            </a:r>
          </a:p>
        </c:rich>
      </c:tx>
      <c:layout>
        <c:manualLayout>
          <c:xMode val="edge"/>
          <c:yMode val="edge"/>
          <c:x val="7.065041092305098E-2"/>
          <c:y val="1.3651031715143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0.12184899912034157"/>
          <c:w val="0.90297462817147855"/>
          <c:h val="0.67704434765817756"/>
        </c:manualLayout>
      </c:layout>
      <c:barChart>
        <c:barDir val="col"/>
        <c:grouping val="clustered"/>
        <c:varyColors val="0"/>
        <c:ser>
          <c:idx val="0"/>
          <c:order val="0"/>
          <c:tx>
            <c:strRef>
              <c:f>Ethnic!$B$3:$B$4</c:f>
              <c:strCache>
                <c:ptCount val="1"/>
                <c:pt idx="0">
                  <c:v>FT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Ethnic!$A$5:$A$12</c:f>
              <c:strCache>
                <c:ptCount val="7"/>
                <c:pt idx="0">
                  <c:v>Group A</c:v>
                </c:pt>
                <c:pt idx="1">
                  <c:v>Group B</c:v>
                </c:pt>
                <c:pt idx="2">
                  <c:v>Group C</c:v>
                </c:pt>
                <c:pt idx="3">
                  <c:v>Group D</c:v>
                </c:pt>
                <c:pt idx="4">
                  <c:v>Group E</c:v>
                </c:pt>
                <c:pt idx="5">
                  <c:v>Group F</c:v>
                </c:pt>
                <c:pt idx="6">
                  <c:v>Group G</c:v>
                </c:pt>
              </c:strCache>
            </c:strRef>
          </c:cat>
          <c:val>
            <c:numRef>
              <c:f>Ethnic!$B$5:$B$12</c:f>
              <c:numCache>
                <c:formatCode>General</c:formatCode>
                <c:ptCount val="7"/>
                <c:pt idx="0">
                  <c:v>34</c:v>
                </c:pt>
                <c:pt idx="1">
                  <c:v>40</c:v>
                </c:pt>
                <c:pt idx="2">
                  <c:v>25</c:v>
                </c:pt>
                <c:pt idx="3">
                  <c:v>32</c:v>
                </c:pt>
                <c:pt idx="4">
                  <c:v>40</c:v>
                </c:pt>
                <c:pt idx="5">
                  <c:v>37</c:v>
                </c:pt>
                <c:pt idx="6">
                  <c:v>39</c:v>
                </c:pt>
              </c:numCache>
            </c:numRef>
          </c:val>
          <c:extLst>
            <c:ext xmlns:c16="http://schemas.microsoft.com/office/drawing/2014/chart" uri="{C3380CC4-5D6E-409C-BE32-E72D297353CC}">
              <c16:uniqueId val="{00000000-94A3-4D4A-84AF-603DF15FAE2B}"/>
            </c:ext>
          </c:extLst>
        </c:ser>
        <c:ser>
          <c:idx val="1"/>
          <c:order val="1"/>
          <c:tx>
            <c:strRef>
              <c:f>Ethnic!$C$3:$C$4</c:f>
              <c:strCache>
                <c:ptCount val="1"/>
                <c:pt idx="0">
                  <c:v>PT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Ethnic!$A$5:$A$12</c:f>
              <c:strCache>
                <c:ptCount val="7"/>
                <c:pt idx="0">
                  <c:v>Group A</c:v>
                </c:pt>
                <c:pt idx="1">
                  <c:v>Group B</c:v>
                </c:pt>
                <c:pt idx="2">
                  <c:v>Group C</c:v>
                </c:pt>
                <c:pt idx="3">
                  <c:v>Group D</c:v>
                </c:pt>
                <c:pt idx="4">
                  <c:v>Group E</c:v>
                </c:pt>
                <c:pt idx="5">
                  <c:v>Group F</c:v>
                </c:pt>
                <c:pt idx="6">
                  <c:v>Group G</c:v>
                </c:pt>
              </c:strCache>
            </c:strRef>
          </c:cat>
          <c:val>
            <c:numRef>
              <c:f>Ethnic!$C$5:$C$12</c:f>
              <c:numCache>
                <c:formatCode>General</c:formatCode>
                <c:ptCount val="7"/>
                <c:pt idx="0">
                  <c:v>60</c:v>
                </c:pt>
                <c:pt idx="1">
                  <c:v>52</c:v>
                </c:pt>
                <c:pt idx="2">
                  <c:v>66</c:v>
                </c:pt>
                <c:pt idx="3">
                  <c:v>59</c:v>
                </c:pt>
                <c:pt idx="4">
                  <c:v>52</c:v>
                </c:pt>
                <c:pt idx="5">
                  <c:v>65</c:v>
                </c:pt>
                <c:pt idx="6">
                  <c:v>49</c:v>
                </c:pt>
              </c:numCache>
            </c:numRef>
          </c:val>
          <c:extLst>
            <c:ext xmlns:c16="http://schemas.microsoft.com/office/drawing/2014/chart" uri="{C3380CC4-5D6E-409C-BE32-E72D297353CC}">
              <c16:uniqueId val="{00000001-94A3-4D4A-84AF-603DF15FAE2B}"/>
            </c:ext>
          </c:extLst>
        </c:ser>
        <c:dLbls>
          <c:dLblPos val="outEnd"/>
          <c:showLegendKey val="0"/>
          <c:showVal val="1"/>
          <c:showCatName val="0"/>
          <c:showSerName val="0"/>
          <c:showPercent val="0"/>
          <c:showBubbleSize val="0"/>
        </c:dLbls>
        <c:gapWidth val="219"/>
        <c:overlap val="-27"/>
        <c:axId val="1182431552"/>
        <c:axId val="1182431072"/>
      </c:barChart>
      <c:catAx>
        <c:axId val="118243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31072"/>
        <c:crosses val="autoZero"/>
        <c:auto val="1"/>
        <c:lblAlgn val="ctr"/>
        <c:lblOffset val="100"/>
        <c:noMultiLvlLbl val="0"/>
      </c:catAx>
      <c:valAx>
        <c:axId val="1182431072"/>
        <c:scaling>
          <c:orientation val="minMax"/>
        </c:scaling>
        <c:delete val="1"/>
        <c:axPos val="l"/>
        <c:numFmt formatCode="General" sourceLinked="1"/>
        <c:majorTickMark val="none"/>
        <c:minorTickMark val="none"/>
        <c:tickLblPos val="nextTo"/>
        <c:crossAx val="1182431552"/>
        <c:crosses val="autoZero"/>
        <c:crossBetween val="between"/>
      </c:valAx>
      <c:spPr>
        <a:noFill/>
        <a:ln>
          <a:noFill/>
        </a:ln>
        <a:effectLst/>
      </c:spPr>
    </c:plotArea>
    <c:legend>
      <c:legendPos val="t"/>
      <c:layout>
        <c:manualLayout>
          <c:xMode val="edge"/>
          <c:yMode val="edge"/>
          <c:x val="0.86382808398950117"/>
          <c:y val="1.8935185185185201E-2"/>
          <c:w val="0.12234383202099737"/>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[find.xlsx]Region!Regions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Active</a:t>
            </a:r>
            <a:r>
              <a:rPr lang="en-US" baseline="0"/>
              <a:t> by Region</a:t>
            </a:r>
          </a:p>
        </c:rich>
      </c:tx>
      <c:layout>
        <c:manualLayout>
          <c:xMode val="edge"/>
          <c:yMode val="edge"/>
          <c:x val="9.2957897657593672E-2"/>
          <c:y val="1.72095808070112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7869641294839"/>
          <c:y val="0.12483850976961211"/>
          <c:w val="0.80576574803149603"/>
          <c:h val="0.76813247302420529"/>
        </c:manualLayout>
      </c:layout>
      <c:barChart>
        <c:barDir val="bar"/>
        <c:grouping val="clustered"/>
        <c:varyColors val="0"/>
        <c:ser>
          <c:idx val="0"/>
          <c:order val="0"/>
          <c:tx>
            <c:strRef>
              <c:f>Region!$B$3:$B$4</c:f>
              <c:strCache>
                <c:ptCount val="1"/>
                <c:pt idx="0">
                  <c:v>FT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Region!$A$5:$A$12</c:f>
              <c:strCache>
                <c:ptCount val="7"/>
                <c:pt idx="0">
                  <c:v>Central</c:v>
                </c:pt>
                <c:pt idx="1">
                  <c:v>East</c:v>
                </c:pt>
                <c:pt idx="2">
                  <c:v>Midwest</c:v>
                </c:pt>
                <c:pt idx="3">
                  <c:v>North</c:v>
                </c:pt>
                <c:pt idx="4">
                  <c:v>Northwest</c:v>
                </c:pt>
                <c:pt idx="5">
                  <c:v>South</c:v>
                </c:pt>
                <c:pt idx="6">
                  <c:v>West</c:v>
                </c:pt>
              </c:strCache>
            </c:strRef>
          </c:cat>
          <c:val>
            <c:numRef>
              <c:f>Region!$B$5:$B$12</c:f>
              <c:numCache>
                <c:formatCode>General</c:formatCode>
                <c:ptCount val="7"/>
                <c:pt idx="0">
                  <c:v>25</c:v>
                </c:pt>
                <c:pt idx="1">
                  <c:v>86</c:v>
                </c:pt>
                <c:pt idx="2">
                  <c:v>21</c:v>
                </c:pt>
                <c:pt idx="3">
                  <c:v>34</c:v>
                </c:pt>
                <c:pt idx="4">
                  <c:v>21</c:v>
                </c:pt>
                <c:pt idx="5">
                  <c:v>33</c:v>
                </c:pt>
                <c:pt idx="6">
                  <c:v>27</c:v>
                </c:pt>
              </c:numCache>
            </c:numRef>
          </c:val>
          <c:extLst>
            <c:ext xmlns:c16="http://schemas.microsoft.com/office/drawing/2014/chart" uri="{C3380CC4-5D6E-409C-BE32-E72D297353CC}">
              <c16:uniqueId val="{00000000-094A-4727-912B-ABF6A2915293}"/>
            </c:ext>
          </c:extLst>
        </c:ser>
        <c:ser>
          <c:idx val="1"/>
          <c:order val="1"/>
          <c:tx>
            <c:strRef>
              <c:f>Region!$C$3:$C$4</c:f>
              <c:strCache>
                <c:ptCount val="1"/>
                <c:pt idx="0">
                  <c:v>PT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Region!$A$5:$A$12</c:f>
              <c:strCache>
                <c:ptCount val="7"/>
                <c:pt idx="0">
                  <c:v>Central</c:v>
                </c:pt>
                <c:pt idx="1">
                  <c:v>East</c:v>
                </c:pt>
                <c:pt idx="2">
                  <c:v>Midwest</c:v>
                </c:pt>
                <c:pt idx="3">
                  <c:v>North</c:v>
                </c:pt>
                <c:pt idx="4">
                  <c:v>Northwest</c:v>
                </c:pt>
                <c:pt idx="5">
                  <c:v>South</c:v>
                </c:pt>
                <c:pt idx="6">
                  <c:v>West</c:v>
                </c:pt>
              </c:strCache>
            </c:strRef>
          </c:cat>
          <c:val>
            <c:numRef>
              <c:f>Region!$C$5:$C$12</c:f>
              <c:numCache>
                <c:formatCode>General</c:formatCode>
                <c:ptCount val="7"/>
                <c:pt idx="0">
                  <c:v>50</c:v>
                </c:pt>
                <c:pt idx="1">
                  <c:v>27</c:v>
                </c:pt>
                <c:pt idx="2">
                  <c:v>41</c:v>
                </c:pt>
                <c:pt idx="3">
                  <c:v>90</c:v>
                </c:pt>
                <c:pt idx="4">
                  <c:v>73</c:v>
                </c:pt>
                <c:pt idx="5">
                  <c:v>81</c:v>
                </c:pt>
                <c:pt idx="6">
                  <c:v>41</c:v>
                </c:pt>
              </c:numCache>
            </c:numRef>
          </c:val>
          <c:extLst>
            <c:ext xmlns:c16="http://schemas.microsoft.com/office/drawing/2014/chart" uri="{C3380CC4-5D6E-409C-BE32-E72D297353CC}">
              <c16:uniqueId val="{00000001-094A-4727-912B-ABF6A2915293}"/>
            </c:ext>
          </c:extLst>
        </c:ser>
        <c:dLbls>
          <c:dLblPos val="inEnd"/>
          <c:showLegendKey val="0"/>
          <c:showVal val="1"/>
          <c:showCatName val="0"/>
          <c:showSerName val="0"/>
          <c:showPercent val="0"/>
          <c:showBubbleSize val="0"/>
        </c:dLbls>
        <c:gapWidth val="50"/>
        <c:axId val="1229094192"/>
        <c:axId val="1229092752"/>
      </c:barChart>
      <c:catAx>
        <c:axId val="1229094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92752"/>
        <c:crosses val="autoZero"/>
        <c:auto val="1"/>
        <c:lblAlgn val="ctr"/>
        <c:lblOffset val="100"/>
        <c:noMultiLvlLbl val="0"/>
      </c:catAx>
      <c:valAx>
        <c:axId val="1229092752"/>
        <c:scaling>
          <c:orientation val="minMax"/>
        </c:scaling>
        <c:delete val="1"/>
        <c:axPos val="t"/>
        <c:numFmt formatCode="General" sourceLinked="1"/>
        <c:majorTickMark val="none"/>
        <c:minorTickMark val="none"/>
        <c:tickLblPos val="nextTo"/>
        <c:crossAx val="1229094192"/>
        <c:crosses val="autoZero"/>
        <c:crossBetween val="between"/>
      </c:valAx>
      <c:spPr>
        <a:noFill/>
        <a:ln>
          <a:noFill/>
        </a:ln>
        <a:effectLst/>
      </c:spPr>
    </c:plotArea>
    <c:legend>
      <c:legendPos val="t"/>
      <c:layout>
        <c:manualLayout>
          <c:xMode val="edge"/>
          <c:yMode val="edge"/>
          <c:x val="0.8527169728783901"/>
          <c:y val="2.356481481481483E-2"/>
          <c:w val="0.12234383202099737"/>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[find.xlsx]Separartion!separation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Separation</a:t>
            </a:r>
          </a:p>
        </c:rich>
      </c:tx>
      <c:layout>
        <c:manualLayout>
          <c:xMode val="edge"/>
          <c:yMode val="edge"/>
          <c:x val="0.11460222644583221"/>
          <c:y val="2.3147960163516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6.1111111111111109E-2"/>
              <c:y val="1.61616058782432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000000000000003E-2"/>
                  <c:h val="0.14533355900195083"/>
                </c:manualLayout>
              </c15:layout>
            </c:ext>
          </c:extLst>
        </c:dLbl>
      </c:pivotFmt>
      <c:pivotFmt>
        <c:idx val="25"/>
        <c:dLbl>
          <c:idx val="0"/>
          <c:layout>
            <c:manualLayout>
              <c:x val="8.0555555555555561E-2"/>
              <c:y val="-8.08080293912164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6.1111111111111109E-2"/>
              <c:y val="1.61616058782432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000000000000003E-2"/>
                  <c:h val="0.14533355900195083"/>
                </c:manualLayout>
              </c15:layout>
            </c:ext>
          </c:extLst>
        </c:dLbl>
      </c:pivotFmt>
      <c:pivotFmt>
        <c:idx val="28"/>
        <c:dLbl>
          <c:idx val="0"/>
          <c:layout>
            <c:manualLayout>
              <c:x val="8.0555555555555561E-2"/>
              <c:y val="-8.08080293912164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tint val="77000"/>
            </a:schemeClr>
          </a:solidFill>
          <a:ln>
            <a:noFill/>
          </a:ln>
          <a:effectLst/>
        </c:spPr>
        <c:dLbl>
          <c:idx val="0"/>
          <c:layout>
            <c:manualLayout>
              <c:x val="6.1111111111111109E-2"/>
              <c:y val="1.61616058782432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000000000000003E-2"/>
                  <c:h val="0.14533355900195083"/>
                </c:manualLayout>
              </c15:layout>
            </c:ext>
          </c:extLst>
        </c:dLbl>
      </c:pivotFmt>
      <c:pivotFmt>
        <c:idx val="36"/>
        <c:spPr>
          <a:solidFill>
            <a:schemeClr val="accent2">
              <a:tint val="77000"/>
            </a:schemeClr>
          </a:solidFill>
          <a:ln>
            <a:noFill/>
          </a:ln>
          <a:effectLst/>
        </c:spPr>
        <c:dLbl>
          <c:idx val="0"/>
          <c:layout>
            <c:manualLayout>
              <c:x val="8.0555555555555561E-2"/>
              <c:y val="-8.08080293912164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hade val="76000"/>
            </a:schemeClr>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hade val="76000"/>
            </a:schemeClr>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hade val="76000"/>
            </a:schemeClr>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hade val="76000"/>
            </a:schemeClr>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9.9769906283328394E-2"/>
          <c:w val="0.93888888888888888"/>
          <c:h val="0.67691302275976306"/>
        </c:manualLayout>
      </c:layout>
      <c:barChart>
        <c:barDir val="col"/>
        <c:grouping val="stacked"/>
        <c:varyColors val="0"/>
        <c:ser>
          <c:idx val="0"/>
          <c:order val="0"/>
          <c:tx>
            <c:strRef>
              <c:f>Separartion!$B$3</c:f>
              <c:strCache>
                <c:ptCount val="1"/>
                <c:pt idx="0">
                  <c:v>Separation</c:v>
                </c:pt>
              </c:strCache>
            </c:strRef>
          </c:tx>
          <c:spPr>
            <a:solidFill>
              <a:schemeClr val="accent2">
                <a:tint val="77000"/>
              </a:schemeClr>
            </a:solidFill>
            <a:ln>
              <a:noFill/>
            </a:ln>
            <a:effectLst/>
          </c:spPr>
          <c:invertIfNegative val="0"/>
          <c:dLbls>
            <c:dLbl>
              <c:idx val="0"/>
              <c:layout>
                <c:manualLayout>
                  <c:x val="6.1111111111111109E-2"/>
                  <c:y val="1.61616058782432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2000000000000003E-2"/>
                      <c:h val="0.14533355900195083"/>
                    </c:manualLayout>
                  </c15:layout>
                </c:ext>
                <c:ext xmlns:c16="http://schemas.microsoft.com/office/drawing/2014/chart" uri="{C3380CC4-5D6E-409C-BE32-E72D297353CC}">
                  <c16:uniqueId val="{00000000-9BAE-4210-8594-14009B6E5901}"/>
                </c:ext>
              </c:extLst>
            </c:dLbl>
            <c:dLbl>
              <c:idx val="1"/>
              <c:layout>
                <c:manualLayout>
                  <c:x val="8.0555555555555561E-2"/>
                  <c:y val="-8.080802939121648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AE-4210-8594-14009B6E59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Separartion!$A$4:$A$8</c:f>
              <c:strCache>
                <c:ptCount val="4"/>
                <c:pt idx="0">
                  <c:v>2015</c:v>
                </c:pt>
                <c:pt idx="1">
                  <c:v>2016</c:v>
                </c:pt>
                <c:pt idx="2">
                  <c:v>2017</c:v>
                </c:pt>
                <c:pt idx="3">
                  <c:v>2018</c:v>
                </c:pt>
              </c:strCache>
            </c:strRef>
          </c:cat>
          <c:val>
            <c:numRef>
              <c:f>Separartion!$B$4:$B$8</c:f>
              <c:numCache>
                <c:formatCode>#,##0</c:formatCode>
                <c:ptCount val="4"/>
                <c:pt idx="0">
                  <c:v>11</c:v>
                </c:pt>
                <c:pt idx="1">
                  <c:v>76</c:v>
                </c:pt>
                <c:pt idx="2">
                  <c:v>190</c:v>
                </c:pt>
                <c:pt idx="3">
                  <c:v>322</c:v>
                </c:pt>
              </c:numCache>
            </c:numRef>
          </c:val>
          <c:extLst>
            <c:ext xmlns:c16="http://schemas.microsoft.com/office/drawing/2014/chart" uri="{C3380CC4-5D6E-409C-BE32-E72D297353CC}">
              <c16:uniqueId val="{00000002-9BAE-4210-8594-14009B6E5901}"/>
            </c:ext>
          </c:extLst>
        </c:ser>
        <c:ser>
          <c:idx val="1"/>
          <c:order val="1"/>
          <c:tx>
            <c:strRef>
              <c:f>Separartion!$C$3</c:f>
              <c:strCache>
                <c:ptCount val="1"/>
                <c:pt idx="0">
                  <c:v>BadHires</c:v>
                </c:pt>
              </c:strCache>
            </c:strRef>
          </c:tx>
          <c:spPr>
            <a:solidFill>
              <a:schemeClr val="accent2">
                <a:shade val="76000"/>
              </a:schemeClr>
            </a:solidFill>
            <a:ln>
              <a:noFill/>
            </a:ln>
            <a:effectLst/>
          </c:spPr>
          <c:invertIfNegative val="0"/>
          <c:dLbls>
            <c:dLbl>
              <c:idx val="0"/>
              <c:layout>
                <c:manualLayout>
                  <c:x val="-5.5555555555555809E-3"/>
                  <c:y val="-5.841025080198325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AE-4210-8594-14009B6E5901}"/>
                </c:ext>
              </c:extLst>
            </c:dLbl>
            <c:dLbl>
              <c:idx val="1"/>
              <c:layout>
                <c:manualLayout>
                  <c:x val="8.3333333333333332E-3"/>
                  <c:y val="-6.9919437153689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AE-4210-8594-14009B6E5901}"/>
                </c:ext>
              </c:extLst>
            </c:dLbl>
            <c:dLbl>
              <c:idx val="2"/>
              <c:layout>
                <c:manualLayout>
                  <c:x val="-1.6666666666666666E-2"/>
                  <c:y val="-0.162778871391076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AE-4210-8594-14009B6E5901}"/>
                </c:ext>
              </c:extLst>
            </c:dLbl>
            <c:dLbl>
              <c:idx val="3"/>
              <c:layout>
                <c:manualLayout>
                  <c:x val="-2.7777777777777779E-3"/>
                  <c:y val="-0.215025882181393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AE-4210-8594-14009B6E59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Separartion!$A$4:$A$8</c:f>
              <c:strCache>
                <c:ptCount val="4"/>
                <c:pt idx="0">
                  <c:v>2015</c:v>
                </c:pt>
                <c:pt idx="1">
                  <c:v>2016</c:v>
                </c:pt>
                <c:pt idx="2">
                  <c:v>2017</c:v>
                </c:pt>
                <c:pt idx="3">
                  <c:v>2018</c:v>
                </c:pt>
              </c:strCache>
            </c:strRef>
          </c:cat>
          <c:val>
            <c:numRef>
              <c:f>Separartion!$C$4:$C$8</c:f>
              <c:numCache>
                <c:formatCode>General</c:formatCode>
                <c:ptCount val="4"/>
                <c:pt idx="0">
                  <c:v>11</c:v>
                </c:pt>
                <c:pt idx="1">
                  <c:v>92</c:v>
                </c:pt>
                <c:pt idx="2">
                  <c:v>400</c:v>
                </c:pt>
                <c:pt idx="3">
                  <c:v>676</c:v>
                </c:pt>
              </c:numCache>
            </c:numRef>
          </c:val>
          <c:extLst>
            <c:ext xmlns:c16="http://schemas.microsoft.com/office/drawing/2014/chart" uri="{C3380CC4-5D6E-409C-BE32-E72D297353CC}">
              <c16:uniqueId val="{00000007-9BAE-4210-8594-14009B6E5901}"/>
            </c:ext>
          </c:extLst>
        </c:ser>
        <c:dLbls>
          <c:showLegendKey val="0"/>
          <c:showVal val="0"/>
          <c:showCatName val="0"/>
          <c:showSerName val="0"/>
          <c:showPercent val="0"/>
          <c:showBubbleSize val="0"/>
        </c:dLbls>
        <c:gapWidth val="102"/>
        <c:overlap val="100"/>
        <c:axId val="1229103312"/>
        <c:axId val="1229127792"/>
      </c:barChart>
      <c:catAx>
        <c:axId val="12291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27792"/>
        <c:crosses val="autoZero"/>
        <c:auto val="1"/>
        <c:lblAlgn val="ctr"/>
        <c:lblOffset val="100"/>
        <c:noMultiLvlLbl val="0"/>
      </c:catAx>
      <c:valAx>
        <c:axId val="1229127792"/>
        <c:scaling>
          <c:orientation val="minMax"/>
        </c:scaling>
        <c:delete val="1"/>
        <c:axPos val="l"/>
        <c:numFmt formatCode="#,##0" sourceLinked="1"/>
        <c:majorTickMark val="none"/>
        <c:minorTickMark val="none"/>
        <c:tickLblPos val="nextTo"/>
        <c:crossAx val="1229103312"/>
        <c:crosses val="autoZero"/>
        <c:crossBetween val="between"/>
      </c:valAx>
      <c:spPr>
        <a:solidFill>
          <a:schemeClr val="bg1"/>
        </a:solidFill>
        <a:ln>
          <a:noFill/>
        </a:ln>
        <a:effectLst/>
      </c:spPr>
    </c:plotArea>
    <c:legend>
      <c:legendPos val="t"/>
      <c:layout>
        <c:manualLayout>
          <c:xMode val="edge"/>
          <c:yMode val="edge"/>
          <c:x val="2.5605861767278924E-3"/>
          <c:y val="0.15763431588342525"/>
          <c:w val="0.2365454943132109"/>
          <c:h val="0.34766986547690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[find.xlsx]Tenure!Tenure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Tenure - Months</a:t>
            </a:r>
            <a:endParaRPr lang="en-US"/>
          </a:p>
        </c:rich>
      </c:tx>
      <c:layout>
        <c:manualLayout>
          <c:xMode val="edge"/>
          <c:yMode val="edge"/>
          <c:x val="6.5323872977416292E-2"/>
          <c:y val="1.9576771653543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Tenure!$B$3:$B$4</c:f>
              <c:strCache>
                <c:ptCount val="1"/>
                <c:pt idx="0">
                  <c:v>FT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Tenure!$A$5:$A$12</c:f>
              <c:strCache>
                <c:ptCount val="7"/>
                <c:pt idx="0">
                  <c:v>Group A</c:v>
                </c:pt>
                <c:pt idx="1">
                  <c:v>Group B</c:v>
                </c:pt>
                <c:pt idx="2">
                  <c:v>Group C</c:v>
                </c:pt>
                <c:pt idx="3">
                  <c:v>Group D</c:v>
                </c:pt>
                <c:pt idx="4">
                  <c:v>Group E</c:v>
                </c:pt>
                <c:pt idx="5">
                  <c:v>Group F</c:v>
                </c:pt>
                <c:pt idx="6">
                  <c:v>Group G</c:v>
                </c:pt>
              </c:strCache>
            </c:strRef>
          </c:cat>
          <c:val>
            <c:numRef>
              <c:f>Tenure!$B$5:$B$12</c:f>
              <c:numCache>
                <c:formatCode>0</c:formatCode>
                <c:ptCount val="7"/>
                <c:pt idx="0">
                  <c:v>91.143714285714296</c:v>
                </c:pt>
                <c:pt idx="1">
                  <c:v>78.171999999999997</c:v>
                </c:pt>
                <c:pt idx="2">
                  <c:v>88.37639999999999</c:v>
                </c:pt>
                <c:pt idx="3">
                  <c:v>86.516874999999999</c:v>
                </c:pt>
                <c:pt idx="4">
                  <c:v>79.72475</c:v>
                </c:pt>
                <c:pt idx="5">
                  <c:v>70.618648648648644</c:v>
                </c:pt>
                <c:pt idx="6">
                  <c:v>83.07692307692308</c:v>
                </c:pt>
              </c:numCache>
            </c:numRef>
          </c:val>
          <c:extLst>
            <c:ext xmlns:c16="http://schemas.microsoft.com/office/drawing/2014/chart" uri="{C3380CC4-5D6E-409C-BE32-E72D297353CC}">
              <c16:uniqueId val="{00000000-B3C5-4B51-8136-6FD1B4C64142}"/>
            </c:ext>
          </c:extLst>
        </c:ser>
        <c:ser>
          <c:idx val="1"/>
          <c:order val="1"/>
          <c:tx>
            <c:strRef>
              <c:f>Tenure!$C$3:$C$4</c:f>
              <c:strCache>
                <c:ptCount val="1"/>
                <c:pt idx="0">
                  <c:v>PT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Tenure!$A$5:$A$12</c:f>
              <c:strCache>
                <c:ptCount val="7"/>
                <c:pt idx="0">
                  <c:v>Group A</c:v>
                </c:pt>
                <c:pt idx="1">
                  <c:v>Group B</c:v>
                </c:pt>
                <c:pt idx="2">
                  <c:v>Group C</c:v>
                </c:pt>
                <c:pt idx="3">
                  <c:v>Group D</c:v>
                </c:pt>
                <c:pt idx="4">
                  <c:v>Group E</c:v>
                </c:pt>
                <c:pt idx="5">
                  <c:v>Group F</c:v>
                </c:pt>
                <c:pt idx="6">
                  <c:v>Group G</c:v>
                </c:pt>
              </c:strCache>
            </c:strRef>
          </c:cat>
          <c:val>
            <c:numRef>
              <c:f>Tenure!$C$5:$C$12</c:f>
              <c:numCache>
                <c:formatCode>0</c:formatCode>
                <c:ptCount val="7"/>
                <c:pt idx="0">
                  <c:v>23.904666666666667</c:v>
                </c:pt>
                <c:pt idx="1">
                  <c:v>16.315384615384616</c:v>
                </c:pt>
                <c:pt idx="2">
                  <c:v>16.812686567164178</c:v>
                </c:pt>
                <c:pt idx="3">
                  <c:v>18.346499999999999</c:v>
                </c:pt>
                <c:pt idx="4">
                  <c:v>24.67</c:v>
                </c:pt>
                <c:pt idx="5">
                  <c:v>17.101060606060607</c:v>
                </c:pt>
                <c:pt idx="6">
                  <c:v>13.8972</c:v>
                </c:pt>
              </c:numCache>
            </c:numRef>
          </c:val>
          <c:extLst>
            <c:ext xmlns:c16="http://schemas.microsoft.com/office/drawing/2014/chart" uri="{C3380CC4-5D6E-409C-BE32-E72D297353CC}">
              <c16:uniqueId val="{00000001-B3C5-4B51-8136-6FD1B4C64142}"/>
            </c:ext>
          </c:extLst>
        </c:ser>
        <c:dLbls>
          <c:dLblPos val="outEnd"/>
          <c:showLegendKey val="0"/>
          <c:showVal val="1"/>
          <c:showCatName val="0"/>
          <c:showSerName val="0"/>
          <c:showPercent val="0"/>
          <c:showBubbleSize val="0"/>
        </c:dLbls>
        <c:gapWidth val="35"/>
        <c:overlap val="-27"/>
        <c:axId val="1229057232"/>
        <c:axId val="1229062992"/>
      </c:barChart>
      <c:catAx>
        <c:axId val="122905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62992"/>
        <c:crosses val="autoZero"/>
        <c:auto val="1"/>
        <c:lblAlgn val="ctr"/>
        <c:lblOffset val="100"/>
        <c:noMultiLvlLbl val="0"/>
      </c:catAx>
      <c:valAx>
        <c:axId val="1229062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57232"/>
        <c:crosses val="autoZero"/>
        <c:crossBetween val="between"/>
      </c:valAx>
      <c:spPr>
        <a:noFill/>
        <a:ln>
          <a:noFill/>
        </a:ln>
        <a:effectLst/>
      </c:spPr>
    </c:plotArea>
    <c:legend>
      <c:legendPos val="t"/>
      <c:layout>
        <c:manualLayout>
          <c:xMode val="edge"/>
          <c:yMode val="edge"/>
          <c:x val="0.8443836395450568"/>
          <c:y val="1.8935185185185201E-2"/>
          <c:w val="0.12234383202099737"/>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[find.xlsx]Tenure Reason!Tenure Reason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Termenation Reason</a:t>
            </a:r>
          </a:p>
        </c:rich>
      </c:tx>
      <c:layout>
        <c:manualLayout>
          <c:xMode val="edge"/>
          <c:yMode val="edge"/>
          <c:x val="1.742344706911632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5.5555555555555809E-3"/>
              <c:y val="-5.84102508019832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8.3333333333333332E-3"/>
              <c:y val="-6.99194371536891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1.6666666666666666E-2"/>
              <c:y val="-0.16277887139107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7777777777777779E-3"/>
              <c:y val="-0.21502588218139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9.9769906283328394E-2"/>
          <c:w val="0.93888888888888888"/>
          <c:h val="0.67691302275976306"/>
        </c:manualLayout>
      </c:layout>
      <c:barChart>
        <c:barDir val="col"/>
        <c:grouping val="clustered"/>
        <c:varyColors val="0"/>
        <c:ser>
          <c:idx val="0"/>
          <c:order val="0"/>
          <c:tx>
            <c:strRef>
              <c:f>'Tenure Reason'!$B$3:$B$4</c:f>
              <c:strCache>
                <c:ptCount val="1"/>
                <c:pt idx="0">
                  <c:v>Involuntary</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'Tenure Reason'!$A$5:$A$9</c:f>
              <c:strCache>
                <c:ptCount val="4"/>
                <c:pt idx="0">
                  <c:v>2015</c:v>
                </c:pt>
                <c:pt idx="1">
                  <c:v>2016</c:v>
                </c:pt>
                <c:pt idx="2">
                  <c:v>2017</c:v>
                </c:pt>
                <c:pt idx="3">
                  <c:v>2018</c:v>
                </c:pt>
              </c:strCache>
            </c:strRef>
          </c:cat>
          <c:val>
            <c:numRef>
              <c:f>'Tenure Reason'!$B$5:$B$9</c:f>
              <c:numCache>
                <c:formatCode>#,##0</c:formatCode>
                <c:ptCount val="4"/>
                <c:pt idx="0">
                  <c:v>11</c:v>
                </c:pt>
                <c:pt idx="1">
                  <c:v>65</c:v>
                </c:pt>
                <c:pt idx="2">
                  <c:v>35</c:v>
                </c:pt>
                <c:pt idx="3">
                  <c:v>76</c:v>
                </c:pt>
              </c:numCache>
            </c:numRef>
          </c:val>
          <c:extLst>
            <c:ext xmlns:c16="http://schemas.microsoft.com/office/drawing/2014/chart" uri="{C3380CC4-5D6E-409C-BE32-E72D297353CC}">
              <c16:uniqueId val="{00000000-52D7-490E-9FEA-C3F4472207E5}"/>
            </c:ext>
          </c:extLst>
        </c:ser>
        <c:ser>
          <c:idx val="1"/>
          <c:order val="1"/>
          <c:tx>
            <c:strRef>
              <c:f>'Tenure Reason'!$C$3:$C$4</c:f>
              <c:strCache>
                <c:ptCount val="1"/>
                <c:pt idx="0">
                  <c:v>Voluntary</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'Tenure Reason'!$A$5:$A$9</c:f>
              <c:strCache>
                <c:ptCount val="4"/>
                <c:pt idx="0">
                  <c:v>2015</c:v>
                </c:pt>
                <c:pt idx="1">
                  <c:v>2016</c:v>
                </c:pt>
                <c:pt idx="2">
                  <c:v>2017</c:v>
                </c:pt>
                <c:pt idx="3">
                  <c:v>2018</c:v>
                </c:pt>
              </c:strCache>
            </c:strRef>
          </c:cat>
          <c:val>
            <c:numRef>
              <c:f>'Tenure Reason'!$C$5:$C$9</c:f>
              <c:numCache>
                <c:formatCode>#,##0</c:formatCode>
                <c:ptCount val="4"/>
                <c:pt idx="1">
                  <c:v>11</c:v>
                </c:pt>
                <c:pt idx="2">
                  <c:v>155</c:v>
                </c:pt>
                <c:pt idx="3">
                  <c:v>246</c:v>
                </c:pt>
              </c:numCache>
            </c:numRef>
          </c:val>
          <c:extLst>
            <c:ext xmlns:c16="http://schemas.microsoft.com/office/drawing/2014/chart" uri="{C3380CC4-5D6E-409C-BE32-E72D297353CC}">
              <c16:uniqueId val="{00000001-52D7-490E-9FEA-C3F4472207E5}"/>
            </c:ext>
          </c:extLst>
        </c:ser>
        <c:dLbls>
          <c:dLblPos val="inEnd"/>
          <c:showLegendKey val="0"/>
          <c:showVal val="1"/>
          <c:showCatName val="0"/>
          <c:showSerName val="0"/>
          <c:showPercent val="0"/>
          <c:showBubbleSize val="0"/>
        </c:dLbls>
        <c:gapWidth val="102"/>
        <c:overlap val="-24"/>
        <c:axId val="1229103312"/>
        <c:axId val="1229127792"/>
      </c:barChart>
      <c:catAx>
        <c:axId val="122910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127792"/>
        <c:crosses val="autoZero"/>
        <c:auto val="1"/>
        <c:lblAlgn val="ctr"/>
        <c:lblOffset val="100"/>
        <c:noMultiLvlLbl val="0"/>
      </c:catAx>
      <c:valAx>
        <c:axId val="1229127792"/>
        <c:scaling>
          <c:orientation val="minMax"/>
        </c:scaling>
        <c:delete val="1"/>
        <c:axPos val="l"/>
        <c:numFmt formatCode="#,##0" sourceLinked="1"/>
        <c:majorTickMark val="none"/>
        <c:minorTickMark val="none"/>
        <c:tickLblPos val="nextTo"/>
        <c:crossAx val="1229103312"/>
        <c:crosses val="autoZero"/>
        <c:crossBetween val="between"/>
      </c:valAx>
      <c:spPr>
        <a:solidFill>
          <a:schemeClr val="bg1"/>
        </a:solidFill>
        <a:ln>
          <a:noFill/>
        </a:ln>
        <a:effectLst/>
      </c:spPr>
    </c:plotArea>
    <c:legend>
      <c:legendPos val="t"/>
      <c:layout>
        <c:manualLayout>
          <c:xMode val="edge"/>
          <c:yMode val="edge"/>
          <c:x val="2.5605861767278924E-3"/>
          <c:y val="0.15763431588342525"/>
          <c:w val="0.22253245937342939"/>
          <c:h val="0.358169406879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chart" Target="../charts/chart2.xml"/><Relationship Id="rId26" Type="http://schemas.openxmlformats.org/officeDocument/2006/relationships/image" Target="../media/image19.png"/><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1.png"/><Relationship Id="rId17" Type="http://schemas.openxmlformats.org/officeDocument/2006/relationships/image" Target="../media/image16.svg"/><Relationship Id="rId25" Type="http://schemas.openxmlformats.org/officeDocument/2006/relationships/hyperlink" Target="#'Separation Dashboard'!A1"/><Relationship Id="rId33" Type="http://schemas.openxmlformats.org/officeDocument/2006/relationships/image" Target="../media/image26.svg"/><Relationship Id="rId2" Type="http://schemas.openxmlformats.org/officeDocument/2006/relationships/image" Target="../media/image2.svg"/><Relationship Id="rId16" Type="http://schemas.openxmlformats.org/officeDocument/2006/relationships/image" Target="../media/image15.png"/><Relationship Id="rId20" Type="http://schemas.openxmlformats.org/officeDocument/2006/relationships/chart" Target="../charts/chart4.xml"/><Relationship Id="rId29" Type="http://schemas.openxmlformats.org/officeDocument/2006/relationships/image" Target="../media/image2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hyperlink" Target="#'Active Dashboard'!A1"/><Relationship Id="rId32" Type="http://schemas.openxmlformats.org/officeDocument/2006/relationships/image" Target="../media/image25.png"/><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chart" Target="../charts/chart7.xml"/><Relationship Id="rId28" Type="http://schemas.openxmlformats.org/officeDocument/2006/relationships/image" Target="../media/image21.png"/><Relationship Id="rId10" Type="http://schemas.openxmlformats.org/officeDocument/2006/relationships/image" Target="../media/image10.svg"/><Relationship Id="rId19" Type="http://schemas.openxmlformats.org/officeDocument/2006/relationships/chart" Target="../charts/chart3.xml"/><Relationship Id="rId31" Type="http://schemas.openxmlformats.org/officeDocument/2006/relationships/image" Target="../media/image24.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chart" Target="../charts/chart6.xml"/><Relationship Id="rId27" Type="http://schemas.openxmlformats.org/officeDocument/2006/relationships/image" Target="../media/image20.svg"/><Relationship Id="rId30" Type="http://schemas.openxmlformats.org/officeDocument/2006/relationships/image" Target="../media/image23.png"/><Relationship Id="rId8" Type="http://schemas.openxmlformats.org/officeDocument/2006/relationships/image" Target="../media/image8.svg"/></Relationships>
</file>

<file path=xl/drawings/_rels/drawing2.xml.rels><?xml version="1.0" encoding="UTF-8" standalone="yes"?>
<Relationships xmlns="http://schemas.openxmlformats.org/package/2006/relationships"><Relationship Id="rId2" Type="http://schemas.openxmlformats.org/officeDocument/2006/relationships/image" Target="../media/image18.svg"/><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2" Type="http://schemas.openxmlformats.org/officeDocument/2006/relationships/hyperlink" Target="#'Separation Dashboard'!A1"/><Relationship Id="rId1" Type="http://schemas.openxmlformats.org/officeDocument/2006/relationships/hyperlink" Target="#'Active 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12700</xdr:rowOff>
    </xdr:from>
    <xdr:to>
      <xdr:col>24</xdr:col>
      <xdr:colOff>38100</xdr:colOff>
      <xdr:row>5</xdr:row>
      <xdr:rowOff>12700</xdr:rowOff>
    </xdr:to>
    <xdr:cxnSp macro="">
      <xdr:nvCxnSpPr>
        <xdr:cNvPr id="3" name="Straight Connector 2">
          <a:extLst>
            <a:ext uri="{FF2B5EF4-FFF2-40B4-BE49-F238E27FC236}">
              <a16:creationId xmlns:a16="http://schemas.microsoft.com/office/drawing/2014/main" id="{2DD0BE19-C7AC-49AF-C297-F60B48FCDDEA}"/>
            </a:ext>
          </a:extLst>
        </xdr:cNvPr>
        <xdr:cNvCxnSpPr/>
      </xdr:nvCxnSpPr>
      <xdr:spPr>
        <a:xfrm>
          <a:off x="0" y="1123950"/>
          <a:ext cx="14966950" cy="0"/>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597302</xdr:colOff>
      <xdr:row>0</xdr:row>
      <xdr:rowOff>19452</xdr:rowOff>
    </xdr:from>
    <xdr:to>
      <xdr:col>11</xdr:col>
      <xdr:colOff>583798</xdr:colOff>
      <xdr:row>2</xdr:row>
      <xdr:rowOff>171048</xdr:rowOff>
    </xdr:to>
    <xdr:pic>
      <xdr:nvPicPr>
        <xdr:cNvPr id="16" name="Graphic 15" descr="Clock with solid fill">
          <a:extLst>
            <a:ext uri="{FF2B5EF4-FFF2-40B4-BE49-F238E27FC236}">
              <a16:creationId xmlns:a16="http://schemas.microsoft.com/office/drawing/2014/main" id="{CE0EBFE3-3509-0649-38D5-A5D1B54CF3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91752" y="19452"/>
          <a:ext cx="596096" cy="596096"/>
        </a:xfrm>
        <a:prstGeom prst="rect">
          <a:avLst/>
        </a:prstGeom>
      </xdr:spPr>
    </xdr:pic>
    <xdr:clientData/>
  </xdr:twoCellAnchor>
  <xdr:twoCellAnchor editAs="oneCell">
    <xdr:from>
      <xdr:col>7</xdr:col>
      <xdr:colOff>607200</xdr:colOff>
      <xdr:row>0</xdr:row>
      <xdr:rowOff>162700</xdr:rowOff>
    </xdr:from>
    <xdr:to>
      <xdr:col>8</xdr:col>
      <xdr:colOff>577850</xdr:colOff>
      <xdr:row>2</xdr:row>
      <xdr:rowOff>146050</xdr:rowOff>
    </xdr:to>
    <xdr:pic>
      <xdr:nvPicPr>
        <xdr:cNvPr id="18" name="Graphic 17" descr="Coins with solid fill">
          <a:extLst>
            <a:ext uri="{FF2B5EF4-FFF2-40B4-BE49-F238E27FC236}">
              <a16:creationId xmlns:a16="http://schemas.microsoft.com/office/drawing/2014/main" id="{06CEAC7D-911E-D08B-C034-34EED02C75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2850" y="162700"/>
          <a:ext cx="580250" cy="427850"/>
        </a:xfrm>
        <a:prstGeom prst="rect">
          <a:avLst/>
        </a:prstGeom>
      </xdr:spPr>
    </xdr:pic>
    <xdr:clientData/>
  </xdr:twoCellAnchor>
  <xdr:twoCellAnchor editAs="oneCell">
    <xdr:from>
      <xdr:col>7</xdr:col>
      <xdr:colOff>12700</xdr:colOff>
      <xdr:row>0</xdr:row>
      <xdr:rowOff>215900</xdr:rowOff>
    </xdr:from>
    <xdr:to>
      <xdr:col>7</xdr:col>
      <xdr:colOff>603250</xdr:colOff>
      <xdr:row>3</xdr:row>
      <xdr:rowOff>215900</xdr:rowOff>
    </xdr:to>
    <xdr:pic>
      <xdr:nvPicPr>
        <xdr:cNvPr id="20" name="Graphic 19" descr="Woman with solid fill">
          <a:extLst>
            <a:ext uri="{FF2B5EF4-FFF2-40B4-BE49-F238E27FC236}">
              <a16:creationId xmlns:a16="http://schemas.microsoft.com/office/drawing/2014/main" id="{BD18D55D-7E3B-30E9-0543-F365C83D6F5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78350" y="215900"/>
          <a:ext cx="590550" cy="666750"/>
        </a:xfrm>
        <a:prstGeom prst="rect">
          <a:avLst/>
        </a:prstGeom>
      </xdr:spPr>
    </xdr:pic>
    <xdr:clientData/>
  </xdr:twoCellAnchor>
  <xdr:twoCellAnchor editAs="oneCell">
    <xdr:from>
      <xdr:col>5</xdr:col>
      <xdr:colOff>869950</xdr:colOff>
      <xdr:row>1</xdr:row>
      <xdr:rowOff>25400</xdr:rowOff>
    </xdr:from>
    <xdr:to>
      <xdr:col>6</xdr:col>
      <xdr:colOff>565150</xdr:colOff>
      <xdr:row>3</xdr:row>
      <xdr:rowOff>209550</xdr:rowOff>
    </xdr:to>
    <xdr:pic>
      <xdr:nvPicPr>
        <xdr:cNvPr id="22" name="Graphic 21" descr="Man with solid fill">
          <a:extLst>
            <a:ext uri="{FF2B5EF4-FFF2-40B4-BE49-F238E27FC236}">
              <a16:creationId xmlns:a16="http://schemas.microsoft.com/office/drawing/2014/main" id="{FF3E18AB-6261-1D3F-B621-8032910F4F9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24300" y="247650"/>
          <a:ext cx="596900" cy="628650"/>
        </a:xfrm>
        <a:prstGeom prst="rect">
          <a:avLst/>
        </a:prstGeom>
      </xdr:spPr>
    </xdr:pic>
    <xdr:clientData/>
  </xdr:twoCellAnchor>
  <xdr:twoCellAnchor editAs="oneCell">
    <xdr:from>
      <xdr:col>5</xdr:col>
      <xdr:colOff>25400</xdr:colOff>
      <xdr:row>1</xdr:row>
      <xdr:rowOff>12700</xdr:rowOff>
    </xdr:from>
    <xdr:to>
      <xdr:col>5</xdr:col>
      <xdr:colOff>869950</xdr:colOff>
      <xdr:row>3</xdr:row>
      <xdr:rowOff>215900</xdr:rowOff>
    </xdr:to>
    <xdr:pic>
      <xdr:nvPicPr>
        <xdr:cNvPr id="24" name="Graphic 23" descr="Users with solid fill">
          <a:extLst>
            <a:ext uri="{FF2B5EF4-FFF2-40B4-BE49-F238E27FC236}">
              <a16:creationId xmlns:a16="http://schemas.microsoft.com/office/drawing/2014/main" id="{119D8DCA-DB74-A592-0F2D-D69FB6646ED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79750" y="234950"/>
          <a:ext cx="844550" cy="647700"/>
        </a:xfrm>
        <a:prstGeom prst="rect">
          <a:avLst/>
        </a:prstGeom>
      </xdr:spPr>
    </xdr:pic>
    <xdr:clientData/>
  </xdr:twoCellAnchor>
  <xdr:twoCellAnchor editAs="oneCell">
    <xdr:from>
      <xdr:col>10</xdr:col>
      <xdr:colOff>38100</xdr:colOff>
      <xdr:row>0</xdr:row>
      <xdr:rowOff>0</xdr:rowOff>
    </xdr:from>
    <xdr:to>
      <xdr:col>11</xdr:col>
      <xdr:colOff>19050</xdr:colOff>
      <xdr:row>2</xdr:row>
      <xdr:rowOff>158750</xdr:rowOff>
    </xdr:to>
    <xdr:pic>
      <xdr:nvPicPr>
        <xdr:cNvPr id="28" name="Graphic 27" descr="Woman with solid fill">
          <a:extLst>
            <a:ext uri="{FF2B5EF4-FFF2-40B4-BE49-F238E27FC236}">
              <a16:creationId xmlns:a16="http://schemas.microsoft.com/office/drawing/2014/main" id="{5203DDBD-B599-4FF7-90CC-D58A9BE1CF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32550" y="0"/>
          <a:ext cx="590550" cy="603250"/>
        </a:xfrm>
        <a:prstGeom prst="rect">
          <a:avLst/>
        </a:prstGeom>
      </xdr:spPr>
    </xdr:pic>
    <xdr:clientData/>
  </xdr:twoCellAnchor>
  <xdr:twoCellAnchor editAs="oneCell">
    <xdr:from>
      <xdr:col>8</xdr:col>
      <xdr:colOff>603250</xdr:colOff>
      <xdr:row>0</xdr:row>
      <xdr:rowOff>31750</xdr:rowOff>
    </xdr:from>
    <xdr:to>
      <xdr:col>9</xdr:col>
      <xdr:colOff>590550</xdr:colOff>
      <xdr:row>2</xdr:row>
      <xdr:rowOff>156029</xdr:rowOff>
    </xdr:to>
    <xdr:pic>
      <xdr:nvPicPr>
        <xdr:cNvPr id="29" name="Graphic 28" descr="Man with solid fill">
          <a:extLst>
            <a:ext uri="{FF2B5EF4-FFF2-40B4-BE49-F238E27FC236}">
              <a16:creationId xmlns:a16="http://schemas.microsoft.com/office/drawing/2014/main" id="{2ED77190-DFF3-40D6-8627-D0360DAB98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8500" y="31750"/>
          <a:ext cx="596900" cy="568779"/>
        </a:xfrm>
        <a:prstGeom prst="rect">
          <a:avLst/>
        </a:prstGeom>
      </xdr:spPr>
    </xdr:pic>
    <xdr:clientData/>
  </xdr:twoCellAnchor>
  <xdr:twoCellAnchor editAs="oneCell">
    <xdr:from>
      <xdr:col>13</xdr:col>
      <xdr:colOff>44450</xdr:colOff>
      <xdr:row>0</xdr:row>
      <xdr:rowOff>0</xdr:rowOff>
    </xdr:from>
    <xdr:to>
      <xdr:col>14</xdr:col>
      <xdr:colOff>0</xdr:colOff>
      <xdr:row>2</xdr:row>
      <xdr:rowOff>158750</xdr:rowOff>
    </xdr:to>
    <xdr:pic>
      <xdr:nvPicPr>
        <xdr:cNvPr id="2" name="Graphic 1" descr="Woman with solid fill">
          <a:extLst>
            <a:ext uri="{FF2B5EF4-FFF2-40B4-BE49-F238E27FC236}">
              <a16:creationId xmlns:a16="http://schemas.microsoft.com/office/drawing/2014/main" id="{2BEBF6C5-3CC9-48A2-8583-B8C6E85CB1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267700" y="0"/>
          <a:ext cx="565150" cy="603250"/>
        </a:xfrm>
        <a:prstGeom prst="rect">
          <a:avLst/>
        </a:prstGeom>
      </xdr:spPr>
    </xdr:pic>
    <xdr:clientData/>
  </xdr:twoCellAnchor>
  <xdr:twoCellAnchor editAs="oneCell">
    <xdr:from>
      <xdr:col>12</xdr:col>
      <xdr:colOff>0</xdr:colOff>
      <xdr:row>0</xdr:row>
      <xdr:rowOff>31750</xdr:rowOff>
    </xdr:from>
    <xdr:to>
      <xdr:col>12</xdr:col>
      <xdr:colOff>571227</xdr:colOff>
      <xdr:row>2</xdr:row>
      <xdr:rowOff>156029</xdr:rowOff>
    </xdr:to>
    <xdr:pic>
      <xdr:nvPicPr>
        <xdr:cNvPr id="4" name="Graphic 3" descr="Man with solid fill">
          <a:extLst>
            <a:ext uri="{FF2B5EF4-FFF2-40B4-BE49-F238E27FC236}">
              <a16:creationId xmlns:a16="http://schemas.microsoft.com/office/drawing/2014/main" id="{85738F73-8E06-481C-8FFC-040650762AE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13650" y="31750"/>
          <a:ext cx="571227" cy="568779"/>
        </a:xfrm>
        <a:prstGeom prst="rect">
          <a:avLst/>
        </a:prstGeom>
      </xdr:spPr>
    </xdr:pic>
    <xdr:clientData/>
  </xdr:twoCellAnchor>
  <xdr:twoCellAnchor>
    <xdr:from>
      <xdr:col>14</xdr:col>
      <xdr:colOff>0</xdr:colOff>
      <xdr:row>0</xdr:row>
      <xdr:rowOff>0</xdr:rowOff>
    </xdr:from>
    <xdr:to>
      <xdr:col>17</xdr:col>
      <xdr:colOff>431800</xdr:colOff>
      <xdr:row>4</xdr:row>
      <xdr:rowOff>215900</xdr:rowOff>
    </xdr:to>
    <xdr:graphicFrame macro="">
      <xdr:nvGraphicFramePr>
        <xdr:cNvPr id="5" name="Chart 4">
          <a:extLst>
            <a:ext uri="{FF2B5EF4-FFF2-40B4-BE49-F238E27FC236}">
              <a16:creationId xmlns:a16="http://schemas.microsoft.com/office/drawing/2014/main" id="{F645F69B-31B2-4CBB-A533-FB86C8B6D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20</xdr:col>
      <xdr:colOff>25400</xdr:colOff>
      <xdr:row>1</xdr:row>
      <xdr:rowOff>6735</xdr:rowOff>
    </xdr:from>
    <xdr:to>
      <xdr:col>21</xdr:col>
      <xdr:colOff>12700</xdr:colOff>
      <xdr:row>3</xdr:row>
      <xdr:rowOff>181841</xdr:rowOff>
    </xdr:to>
    <xdr:pic>
      <xdr:nvPicPr>
        <xdr:cNvPr id="6" name="Graphic 5" descr="Woman with solid fill">
          <a:extLst>
            <a:ext uri="{FF2B5EF4-FFF2-40B4-BE49-F238E27FC236}">
              <a16:creationId xmlns:a16="http://schemas.microsoft.com/office/drawing/2014/main" id="{237D2528-59F5-4B4F-8250-14347715A51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515850" y="228985"/>
          <a:ext cx="596900" cy="619606"/>
        </a:xfrm>
        <a:prstGeom prst="rect">
          <a:avLst/>
        </a:prstGeom>
      </xdr:spPr>
    </xdr:pic>
    <xdr:clientData/>
  </xdr:twoCellAnchor>
  <xdr:twoCellAnchor editAs="oneCell">
    <xdr:from>
      <xdr:col>19</xdr:col>
      <xdr:colOff>50800</xdr:colOff>
      <xdr:row>1</xdr:row>
      <xdr:rowOff>25400</xdr:rowOff>
    </xdr:from>
    <xdr:to>
      <xdr:col>19</xdr:col>
      <xdr:colOff>584200</xdr:colOff>
      <xdr:row>3</xdr:row>
      <xdr:rowOff>165100</xdr:rowOff>
    </xdr:to>
    <xdr:pic>
      <xdr:nvPicPr>
        <xdr:cNvPr id="7" name="Graphic 6" descr="Man with solid fill">
          <a:extLst>
            <a:ext uri="{FF2B5EF4-FFF2-40B4-BE49-F238E27FC236}">
              <a16:creationId xmlns:a16="http://schemas.microsoft.com/office/drawing/2014/main" id="{8168236D-09C9-4EF0-82C6-0A629A81390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931650" y="247650"/>
          <a:ext cx="533400" cy="584200"/>
        </a:xfrm>
        <a:prstGeom prst="rect">
          <a:avLst/>
        </a:prstGeom>
      </xdr:spPr>
    </xdr:pic>
    <xdr:clientData/>
  </xdr:twoCellAnchor>
  <xdr:twoCellAnchor editAs="oneCell">
    <xdr:from>
      <xdr:col>18</xdr:col>
      <xdr:colOff>0</xdr:colOff>
      <xdr:row>1</xdr:row>
      <xdr:rowOff>19241</xdr:rowOff>
    </xdr:from>
    <xdr:to>
      <xdr:col>19</xdr:col>
      <xdr:colOff>6350</xdr:colOff>
      <xdr:row>3</xdr:row>
      <xdr:rowOff>176644</xdr:rowOff>
    </xdr:to>
    <xdr:pic>
      <xdr:nvPicPr>
        <xdr:cNvPr id="8" name="Graphic 7" descr="Users with solid fill">
          <a:extLst>
            <a:ext uri="{FF2B5EF4-FFF2-40B4-BE49-F238E27FC236}">
              <a16:creationId xmlns:a16="http://schemas.microsoft.com/office/drawing/2014/main" id="{59C83B2D-1D79-4526-92E9-E96387CCFC5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271250" y="241491"/>
          <a:ext cx="615950" cy="601903"/>
        </a:xfrm>
        <a:prstGeom prst="rect">
          <a:avLst/>
        </a:prstGeom>
      </xdr:spPr>
    </xdr:pic>
    <xdr:clientData/>
  </xdr:twoCellAnchor>
  <xdr:twoCellAnchor>
    <xdr:from>
      <xdr:col>2</xdr:col>
      <xdr:colOff>165100</xdr:colOff>
      <xdr:row>5</xdr:row>
      <xdr:rowOff>120650</xdr:rowOff>
    </xdr:from>
    <xdr:to>
      <xdr:col>14</xdr:col>
      <xdr:colOff>279400</xdr:colOff>
      <xdr:row>17</xdr:row>
      <xdr:rowOff>120650</xdr:rowOff>
    </xdr:to>
    <xdr:graphicFrame macro="">
      <xdr:nvGraphicFramePr>
        <xdr:cNvPr id="9" name="Chart 8">
          <a:extLst>
            <a:ext uri="{FF2B5EF4-FFF2-40B4-BE49-F238E27FC236}">
              <a16:creationId xmlns:a16="http://schemas.microsoft.com/office/drawing/2014/main" id="{850B6D51-ACEA-4841-9486-5AAD6ABA3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349250</xdr:colOff>
      <xdr:row>5</xdr:row>
      <xdr:rowOff>101600</xdr:rowOff>
    </xdr:from>
    <xdr:to>
      <xdr:col>24</xdr:col>
      <xdr:colOff>38100</xdr:colOff>
      <xdr:row>17</xdr:row>
      <xdr:rowOff>114300</xdr:rowOff>
    </xdr:to>
    <xdr:graphicFrame macro="">
      <xdr:nvGraphicFramePr>
        <xdr:cNvPr id="10" name="Chart 9">
          <a:extLst>
            <a:ext uri="{FF2B5EF4-FFF2-40B4-BE49-F238E27FC236}">
              <a16:creationId xmlns:a16="http://schemas.microsoft.com/office/drawing/2014/main" id="{0116CB20-FCAF-460F-AD4D-ADCAC4EFA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323850</xdr:colOff>
      <xdr:row>18</xdr:row>
      <xdr:rowOff>0</xdr:rowOff>
    </xdr:from>
    <xdr:to>
      <xdr:col>14</xdr:col>
      <xdr:colOff>285750</xdr:colOff>
      <xdr:row>38</xdr:row>
      <xdr:rowOff>158750</xdr:rowOff>
    </xdr:to>
    <xdr:graphicFrame macro="">
      <xdr:nvGraphicFramePr>
        <xdr:cNvPr id="12" name="Chart 11">
          <a:extLst>
            <a:ext uri="{FF2B5EF4-FFF2-40B4-BE49-F238E27FC236}">
              <a16:creationId xmlns:a16="http://schemas.microsoft.com/office/drawing/2014/main" id="{122F119F-EA95-4606-868E-C18C47F5A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171450</xdr:colOff>
      <xdr:row>18</xdr:row>
      <xdr:rowOff>0</xdr:rowOff>
    </xdr:from>
    <xdr:to>
      <xdr:col>8</xdr:col>
      <xdr:colOff>266700</xdr:colOff>
      <xdr:row>27</xdr:row>
      <xdr:rowOff>165100</xdr:rowOff>
    </xdr:to>
    <xdr:graphicFrame macro="">
      <xdr:nvGraphicFramePr>
        <xdr:cNvPr id="13" name="Chart 12">
          <a:extLst>
            <a:ext uri="{FF2B5EF4-FFF2-40B4-BE49-F238E27FC236}">
              <a16:creationId xmlns:a16="http://schemas.microsoft.com/office/drawing/2014/main" id="{C2B9D1B7-7981-43E5-9473-67F235A29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349250</xdr:colOff>
      <xdr:row>18</xdr:row>
      <xdr:rowOff>12700</xdr:rowOff>
    </xdr:from>
    <xdr:to>
      <xdr:col>24</xdr:col>
      <xdr:colOff>31750</xdr:colOff>
      <xdr:row>37</xdr:row>
      <xdr:rowOff>69850</xdr:rowOff>
    </xdr:to>
    <xdr:graphicFrame macro="">
      <xdr:nvGraphicFramePr>
        <xdr:cNvPr id="14" name="Chart 13">
          <a:extLst>
            <a:ext uri="{FF2B5EF4-FFF2-40B4-BE49-F238E27FC236}">
              <a16:creationId xmlns:a16="http://schemas.microsoft.com/office/drawing/2014/main" id="{44B66334-E571-4EE3-8F93-F733620CC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146050</xdr:colOff>
      <xdr:row>28</xdr:row>
      <xdr:rowOff>25400</xdr:rowOff>
    </xdr:from>
    <xdr:to>
      <xdr:col>8</xdr:col>
      <xdr:colOff>285750</xdr:colOff>
      <xdr:row>38</xdr:row>
      <xdr:rowOff>177800</xdr:rowOff>
    </xdr:to>
    <xdr:graphicFrame macro="">
      <xdr:nvGraphicFramePr>
        <xdr:cNvPr id="15" name="Chart 14">
          <a:extLst>
            <a:ext uri="{FF2B5EF4-FFF2-40B4-BE49-F238E27FC236}">
              <a16:creationId xmlns:a16="http://schemas.microsoft.com/office/drawing/2014/main" id="{791F4FEB-7F7E-42D3-997E-733FED983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596900</xdr:colOff>
      <xdr:row>0</xdr:row>
      <xdr:rowOff>107950</xdr:rowOff>
    </xdr:from>
    <xdr:to>
      <xdr:col>4</xdr:col>
      <xdr:colOff>596900</xdr:colOff>
      <xdr:row>4</xdr:row>
      <xdr:rowOff>215900</xdr:rowOff>
    </xdr:to>
    <xdr:cxnSp macro="">
      <xdr:nvCxnSpPr>
        <xdr:cNvPr id="21" name="Straight Connector 20">
          <a:extLst>
            <a:ext uri="{FF2B5EF4-FFF2-40B4-BE49-F238E27FC236}">
              <a16:creationId xmlns:a16="http://schemas.microsoft.com/office/drawing/2014/main" id="{2C0E07FB-FEED-9041-E0DC-61BBC4332F63}"/>
            </a:ext>
          </a:extLst>
        </xdr:cNvPr>
        <xdr:cNvCxnSpPr/>
      </xdr:nvCxnSpPr>
      <xdr:spPr>
        <a:xfrm>
          <a:off x="3035300" y="107950"/>
          <a:ext cx="0" cy="996950"/>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0</xdr:row>
      <xdr:rowOff>0</xdr:rowOff>
    </xdr:from>
    <xdr:to>
      <xdr:col>8</xdr:col>
      <xdr:colOff>0</xdr:colOff>
      <xdr:row>4</xdr:row>
      <xdr:rowOff>212255</xdr:rowOff>
    </xdr:to>
    <xdr:cxnSp macro="">
      <xdr:nvCxnSpPr>
        <xdr:cNvPr id="23" name="Straight Connector 22">
          <a:extLst>
            <a:ext uri="{FF2B5EF4-FFF2-40B4-BE49-F238E27FC236}">
              <a16:creationId xmlns:a16="http://schemas.microsoft.com/office/drawing/2014/main" id="{A87A48D8-D64C-4080-813A-96CB42AF36C0}"/>
            </a:ext>
          </a:extLst>
        </xdr:cNvPr>
        <xdr:cNvCxnSpPr/>
      </xdr:nvCxnSpPr>
      <xdr:spPr>
        <a:xfrm>
          <a:off x="5175250" y="0"/>
          <a:ext cx="0" cy="110125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31750</xdr:colOff>
      <xdr:row>0</xdr:row>
      <xdr:rowOff>0</xdr:rowOff>
    </xdr:from>
    <xdr:to>
      <xdr:col>12</xdr:col>
      <xdr:colOff>31750</xdr:colOff>
      <xdr:row>4</xdr:row>
      <xdr:rowOff>212255</xdr:rowOff>
    </xdr:to>
    <xdr:cxnSp macro="">
      <xdr:nvCxnSpPr>
        <xdr:cNvPr id="25" name="Straight Connector 24">
          <a:extLst>
            <a:ext uri="{FF2B5EF4-FFF2-40B4-BE49-F238E27FC236}">
              <a16:creationId xmlns:a16="http://schemas.microsoft.com/office/drawing/2014/main" id="{04D542BA-073B-4224-8EA8-22660804D26B}"/>
            </a:ext>
          </a:extLst>
        </xdr:cNvPr>
        <xdr:cNvCxnSpPr/>
      </xdr:nvCxnSpPr>
      <xdr:spPr>
        <a:xfrm>
          <a:off x="7645400" y="0"/>
          <a:ext cx="0" cy="110125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6350</xdr:colOff>
      <xdr:row>0</xdr:row>
      <xdr:rowOff>12700</xdr:rowOff>
    </xdr:from>
    <xdr:to>
      <xdr:col>14</xdr:col>
      <xdr:colOff>6350</xdr:colOff>
      <xdr:row>5</xdr:row>
      <xdr:rowOff>2705</xdr:rowOff>
    </xdr:to>
    <xdr:cxnSp macro="">
      <xdr:nvCxnSpPr>
        <xdr:cNvPr id="26" name="Straight Connector 25">
          <a:extLst>
            <a:ext uri="{FF2B5EF4-FFF2-40B4-BE49-F238E27FC236}">
              <a16:creationId xmlns:a16="http://schemas.microsoft.com/office/drawing/2014/main" id="{B6089E11-8970-41F3-B31F-FDEE5AE50817}"/>
            </a:ext>
          </a:extLst>
        </xdr:cNvPr>
        <xdr:cNvCxnSpPr/>
      </xdr:nvCxnSpPr>
      <xdr:spPr>
        <a:xfrm>
          <a:off x="8839200" y="12700"/>
          <a:ext cx="0" cy="110125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431800</xdr:colOff>
      <xdr:row>0</xdr:row>
      <xdr:rowOff>0</xdr:rowOff>
    </xdr:from>
    <xdr:to>
      <xdr:col>17</xdr:col>
      <xdr:colOff>431800</xdr:colOff>
      <xdr:row>4</xdr:row>
      <xdr:rowOff>212255</xdr:rowOff>
    </xdr:to>
    <xdr:cxnSp macro="">
      <xdr:nvCxnSpPr>
        <xdr:cNvPr id="27" name="Straight Connector 26">
          <a:extLst>
            <a:ext uri="{FF2B5EF4-FFF2-40B4-BE49-F238E27FC236}">
              <a16:creationId xmlns:a16="http://schemas.microsoft.com/office/drawing/2014/main" id="{A42A4140-DE05-4706-87E7-C15C04F52BFF}"/>
            </a:ext>
          </a:extLst>
        </xdr:cNvPr>
        <xdr:cNvCxnSpPr/>
      </xdr:nvCxnSpPr>
      <xdr:spPr>
        <a:xfrm>
          <a:off x="11093450" y="0"/>
          <a:ext cx="0" cy="110125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596900</xdr:colOff>
      <xdr:row>0</xdr:row>
      <xdr:rowOff>0</xdr:rowOff>
    </xdr:from>
    <xdr:to>
      <xdr:col>20</xdr:col>
      <xdr:colOff>596900</xdr:colOff>
      <xdr:row>4</xdr:row>
      <xdr:rowOff>212255</xdr:rowOff>
    </xdr:to>
    <xdr:cxnSp macro="">
      <xdr:nvCxnSpPr>
        <xdr:cNvPr id="30" name="Straight Connector 29">
          <a:extLst>
            <a:ext uri="{FF2B5EF4-FFF2-40B4-BE49-F238E27FC236}">
              <a16:creationId xmlns:a16="http://schemas.microsoft.com/office/drawing/2014/main" id="{86260935-E1B7-4A38-80D8-4257990669B5}"/>
            </a:ext>
          </a:extLst>
        </xdr:cNvPr>
        <xdr:cNvCxnSpPr/>
      </xdr:nvCxnSpPr>
      <xdr:spPr>
        <a:xfrm>
          <a:off x="13087350" y="0"/>
          <a:ext cx="0" cy="110125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5</xdr:row>
      <xdr:rowOff>57150</xdr:rowOff>
    </xdr:from>
    <xdr:to>
      <xdr:col>2</xdr:col>
      <xdr:colOff>127000</xdr:colOff>
      <xdr:row>9</xdr:row>
      <xdr:rowOff>31750</xdr:rowOff>
    </xdr:to>
    <mc:AlternateContent xmlns:mc="http://schemas.openxmlformats.org/markup-compatibility/2006">
      <mc:Choice xmlns:a14="http://schemas.microsoft.com/office/drawing/2010/main" Requires="a14">
        <xdr:graphicFrame macro="">
          <xdr:nvGraphicFramePr>
            <xdr:cNvPr id="31" name="FP">
              <a:extLst>
                <a:ext uri="{FF2B5EF4-FFF2-40B4-BE49-F238E27FC236}">
                  <a16:creationId xmlns:a16="http://schemas.microsoft.com/office/drawing/2014/main" id="{F18C2527-04D0-419F-8EA7-F21F361CE861}"/>
                </a:ext>
              </a:extLst>
            </xdr:cNvPr>
            <xdr:cNvGraphicFramePr/>
          </xdr:nvGraphicFramePr>
          <xdr:xfrm>
            <a:off x="0" y="0"/>
            <a:ext cx="0" cy="0"/>
          </xdr:xfrm>
          <a:graphic>
            <a:graphicData uri="http://schemas.microsoft.com/office/drawing/2010/slicer">
              <sle:slicer xmlns:sle="http://schemas.microsoft.com/office/drawing/2010/slicer" name="FP"/>
            </a:graphicData>
          </a:graphic>
        </xdr:graphicFrame>
      </mc:Choice>
      <mc:Fallback>
        <xdr:sp macro="" textlink="">
          <xdr:nvSpPr>
            <xdr:cNvPr id="0" name=""/>
            <xdr:cNvSpPr>
              <a:spLocks noTextEdit="1"/>
            </xdr:cNvSpPr>
          </xdr:nvSpPr>
          <xdr:spPr>
            <a:xfrm>
              <a:off x="0" y="1200150"/>
              <a:ext cx="1346200" cy="73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19050</xdr:rowOff>
    </xdr:from>
    <xdr:to>
      <xdr:col>2</xdr:col>
      <xdr:colOff>133350</xdr:colOff>
      <xdr:row>26</xdr:row>
      <xdr:rowOff>6350</xdr:rowOff>
    </xdr:to>
    <mc:AlternateContent xmlns:mc="http://schemas.openxmlformats.org/markup-compatibility/2006">
      <mc:Choice xmlns:a14="http://schemas.microsoft.com/office/drawing/2010/main" Requires="a14">
        <xdr:graphicFrame macro="">
          <xdr:nvGraphicFramePr>
            <xdr:cNvPr id="32" name="BU Region">
              <a:extLst>
                <a:ext uri="{FF2B5EF4-FFF2-40B4-BE49-F238E27FC236}">
                  <a16:creationId xmlns:a16="http://schemas.microsoft.com/office/drawing/2014/main" id="{100618AA-A5E7-4616-AB5D-766862455EED}"/>
                </a:ext>
              </a:extLst>
            </xdr:cNvPr>
            <xdr:cNvGraphicFramePr/>
          </xdr:nvGraphicFramePr>
          <xdr:xfrm>
            <a:off x="0" y="0"/>
            <a:ext cx="0" cy="0"/>
          </xdr:xfrm>
          <a:graphic>
            <a:graphicData uri="http://schemas.microsoft.com/office/drawing/2010/slicer">
              <sle:slicer xmlns:sle="http://schemas.microsoft.com/office/drawing/2010/slicer" name="BU Region"/>
            </a:graphicData>
          </a:graphic>
        </xdr:graphicFrame>
      </mc:Choice>
      <mc:Fallback>
        <xdr:sp macro="" textlink="">
          <xdr:nvSpPr>
            <xdr:cNvPr id="0" name=""/>
            <xdr:cNvSpPr>
              <a:spLocks noTextEdit="1"/>
            </xdr:cNvSpPr>
          </xdr:nvSpPr>
          <xdr:spPr>
            <a:xfrm>
              <a:off x="0" y="2686050"/>
              <a:ext cx="1352550" cy="246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26</xdr:row>
      <xdr:rowOff>50800</xdr:rowOff>
    </xdr:from>
    <xdr:to>
      <xdr:col>2</xdr:col>
      <xdr:colOff>31750</xdr:colOff>
      <xdr:row>39</xdr:row>
      <xdr:rowOff>38100</xdr:rowOff>
    </xdr:to>
    <mc:AlternateContent xmlns:mc="http://schemas.openxmlformats.org/markup-compatibility/2006">
      <mc:Choice xmlns:a14="http://schemas.microsoft.com/office/drawing/2010/main" Requires="a14">
        <xdr:graphicFrame macro="">
          <xdr:nvGraphicFramePr>
            <xdr:cNvPr id="33" name="EthnicGroup">
              <a:extLst>
                <a:ext uri="{FF2B5EF4-FFF2-40B4-BE49-F238E27FC236}">
                  <a16:creationId xmlns:a16="http://schemas.microsoft.com/office/drawing/2014/main" id="{0F770745-9726-4CF1-BDA9-F57A4DFB8634}"/>
                </a:ext>
              </a:extLst>
            </xdr:cNvPr>
            <xdr:cNvGraphicFramePr/>
          </xdr:nvGraphicFramePr>
          <xdr:xfrm>
            <a:off x="0" y="0"/>
            <a:ext cx="0" cy="0"/>
          </xdr:xfrm>
          <a:graphic>
            <a:graphicData uri="http://schemas.microsoft.com/office/drawing/2010/slicer">
              <sle:slicer xmlns:sle="http://schemas.microsoft.com/office/drawing/2010/slicer" name="EthnicGroup"/>
            </a:graphicData>
          </a:graphic>
        </xdr:graphicFrame>
      </mc:Choice>
      <mc:Fallback>
        <xdr:sp macro="" textlink="">
          <xdr:nvSpPr>
            <xdr:cNvPr id="0" name=""/>
            <xdr:cNvSpPr>
              <a:spLocks noTextEdit="1"/>
            </xdr:cNvSpPr>
          </xdr:nvSpPr>
          <xdr:spPr>
            <a:xfrm>
              <a:off x="25400" y="5194300"/>
              <a:ext cx="1225550" cy="246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57150</xdr:rowOff>
    </xdr:from>
    <xdr:to>
      <xdr:col>2</xdr:col>
      <xdr:colOff>146050</xdr:colOff>
      <xdr:row>12</xdr:row>
      <xdr:rowOff>165100</xdr:rowOff>
    </xdr:to>
    <mc:AlternateContent xmlns:mc="http://schemas.openxmlformats.org/markup-compatibility/2006">
      <mc:Choice xmlns:a14="http://schemas.microsoft.com/office/drawing/2010/main" Requires="a14">
        <xdr:graphicFrame macro="">
          <xdr:nvGraphicFramePr>
            <xdr:cNvPr id="34" name="Gender">
              <a:extLst>
                <a:ext uri="{FF2B5EF4-FFF2-40B4-BE49-F238E27FC236}">
                  <a16:creationId xmlns:a16="http://schemas.microsoft.com/office/drawing/2014/main" id="{21ADE8BB-2486-4D97-BA57-8619C7C0A6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962150"/>
              <a:ext cx="13652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25400</xdr:colOff>
      <xdr:row>0</xdr:row>
      <xdr:rowOff>0</xdr:rowOff>
    </xdr:from>
    <xdr:to>
      <xdr:col>24</xdr:col>
      <xdr:colOff>25400</xdr:colOff>
      <xdr:row>4</xdr:row>
      <xdr:rowOff>196850</xdr:rowOff>
    </xdr:to>
    <mc:AlternateContent xmlns:mc="http://schemas.openxmlformats.org/markup-compatibility/2006">
      <mc:Choice xmlns:a14="http://schemas.microsoft.com/office/drawing/2010/main" Requires="a14">
        <xdr:graphicFrame macro="">
          <xdr:nvGraphicFramePr>
            <xdr:cNvPr id="35" name="Date (Year)">
              <a:extLst>
                <a:ext uri="{FF2B5EF4-FFF2-40B4-BE49-F238E27FC236}">
                  <a16:creationId xmlns:a16="http://schemas.microsoft.com/office/drawing/2014/main" id="{5091B3B8-0AE0-4B83-BF04-1A728DA3903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3131800" y="0"/>
              <a:ext cx="1828800" cy="111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xdr:colOff>
      <xdr:row>3</xdr:row>
      <xdr:rowOff>88900</xdr:rowOff>
    </xdr:from>
    <xdr:to>
      <xdr:col>2</xdr:col>
      <xdr:colOff>254000</xdr:colOff>
      <xdr:row>4</xdr:row>
      <xdr:rowOff>190500</xdr:rowOff>
    </xdr:to>
    <xdr:sp macro="" textlink="">
      <xdr:nvSpPr>
        <xdr:cNvPr id="37" name="Rectangle: Rounded Corners 36">
          <a:hlinkClick xmlns:r="http://schemas.openxmlformats.org/officeDocument/2006/relationships" r:id="rId24"/>
          <a:extLst>
            <a:ext uri="{FF2B5EF4-FFF2-40B4-BE49-F238E27FC236}">
              <a16:creationId xmlns:a16="http://schemas.microsoft.com/office/drawing/2014/main" id="{AE9BD0B2-5C54-950D-C32B-CC0A487EC5CB}"/>
            </a:ext>
          </a:extLst>
        </xdr:cNvPr>
        <xdr:cNvSpPr/>
      </xdr:nvSpPr>
      <xdr:spPr>
        <a:xfrm>
          <a:off x="44450" y="755650"/>
          <a:ext cx="1428750" cy="32385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100" b="1"/>
            <a:t>Active Dashboard</a:t>
          </a:r>
        </a:p>
      </xdr:txBody>
    </xdr:sp>
    <xdr:clientData/>
  </xdr:twoCellAnchor>
  <xdr:twoCellAnchor>
    <xdr:from>
      <xdr:col>2</xdr:col>
      <xdr:colOff>298450</xdr:colOff>
      <xdr:row>3</xdr:row>
      <xdr:rowOff>88900</xdr:rowOff>
    </xdr:from>
    <xdr:to>
      <xdr:col>4</xdr:col>
      <xdr:colOff>533400</xdr:colOff>
      <xdr:row>4</xdr:row>
      <xdr:rowOff>190500</xdr:rowOff>
    </xdr:to>
    <xdr:sp macro="" textlink="">
      <xdr:nvSpPr>
        <xdr:cNvPr id="38" name="Rectangle: Rounded Corners 37">
          <a:hlinkClick xmlns:r="http://schemas.openxmlformats.org/officeDocument/2006/relationships" r:id="rId25"/>
          <a:extLst>
            <a:ext uri="{FF2B5EF4-FFF2-40B4-BE49-F238E27FC236}">
              <a16:creationId xmlns:a16="http://schemas.microsoft.com/office/drawing/2014/main" id="{98E3764D-A1B4-46C5-ADFC-EB40B298DB03}"/>
            </a:ext>
          </a:extLst>
        </xdr:cNvPr>
        <xdr:cNvSpPr/>
      </xdr:nvSpPr>
      <xdr:spPr>
        <a:xfrm>
          <a:off x="1517650" y="755650"/>
          <a:ext cx="1454150" cy="3238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1"/>
            <a:t>Saperation</a:t>
          </a:r>
          <a:r>
            <a:rPr lang="en-US" sz="1050" b="1" baseline="0"/>
            <a:t> Dashboard</a:t>
          </a:r>
          <a:endParaRPr lang="en-US" sz="1050" b="1"/>
        </a:p>
      </xdr:txBody>
    </xdr:sp>
    <xdr:clientData/>
  </xdr:twoCellAnchor>
  <xdr:twoCellAnchor editAs="oneCell">
    <xdr:from>
      <xdr:col>14</xdr:col>
      <xdr:colOff>528048</xdr:colOff>
      <xdr:row>18</xdr:row>
      <xdr:rowOff>102598</xdr:rowOff>
    </xdr:from>
    <xdr:to>
      <xdr:col>15</xdr:col>
      <xdr:colOff>132353</xdr:colOff>
      <xdr:row>19</xdr:row>
      <xdr:rowOff>132353</xdr:rowOff>
    </xdr:to>
    <xdr:pic>
      <xdr:nvPicPr>
        <xdr:cNvPr id="40" name="Graphic 39" descr="Newspaper with solid fill">
          <a:extLst>
            <a:ext uri="{FF2B5EF4-FFF2-40B4-BE49-F238E27FC236}">
              <a16:creationId xmlns:a16="http://schemas.microsoft.com/office/drawing/2014/main" id="{5862676E-0027-4DAA-6125-CA3450EB6B45}"/>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9360898" y="3607798"/>
          <a:ext cx="213905" cy="213905"/>
        </a:xfrm>
        <a:prstGeom prst="rect">
          <a:avLst/>
        </a:prstGeom>
      </xdr:spPr>
    </xdr:pic>
    <xdr:clientData/>
  </xdr:twoCellAnchor>
  <xdr:twoCellAnchor editAs="oneCell">
    <xdr:from>
      <xdr:col>2</xdr:col>
      <xdr:colOff>481447</xdr:colOff>
      <xdr:row>18</xdr:row>
      <xdr:rowOff>81397</xdr:rowOff>
    </xdr:from>
    <xdr:to>
      <xdr:col>3</xdr:col>
      <xdr:colOff>47153</xdr:colOff>
      <xdr:row>19</xdr:row>
      <xdr:rowOff>72553</xdr:rowOff>
    </xdr:to>
    <xdr:pic>
      <xdr:nvPicPr>
        <xdr:cNvPr id="42" name="Graphic 41" descr="Warning with solid fill">
          <a:extLst>
            <a:ext uri="{FF2B5EF4-FFF2-40B4-BE49-F238E27FC236}">
              <a16:creationId xmlns:a16="http://schemas.microsoft.com/office/drawing/2014/main" id="{18942234-1068-768D-BAC9-AA71BA36255F}"/>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700647" y="3586597"/>
          <a:ext cx="175306" cy="175306"/>
        </a:xfrm>
        <a:prstGeom prst="rect">
          <a:avLst/>
        </a:prstGeom>
      </xdr:spPr>
    </xdr:pic>
    <xdr:clientData/>
  </xdr:twoCellAnchor>
  <xdr:twoCellAnchor editAs="oneCell">
    <xdr:from>
      <xdr:col>2</xdr:col>
      <xdr:colOff>594933</xdr:colOff>
      <xdr:row>5</xdr:row>
      <xdr:rowOff>144083</xdr:rowOff>
    </xdr:from>
    <xdr:to>
      <xdr:col>3</xdr:col>
      <xdr:colOff>233668</xdr:colOff>
      <xdr:row>7</xdr:row>
      <xdr:rowOff>24118</xdr:rowOff>
    </xdr:to>
    <xdr:pic>
      <xdr:nvPicPr>
        <xdr:cNvPr id="44" name="Graphic 43" descr="Employee badge with solid fill">
          <a:extLst>
            <a:ext uri="{FF2B5EF4-FFF2-40B4-BE49-F238E27FC236}">
              <a16:creationId xmlns:a16="http://schemas.microsoft.com/office/drawing/2014/main" id="{B0B2DC1B-0576-B3D5-BD0E-DBB7F4CA5245}"/>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814133" y="1255333"/>
          <a:ext cx="248335" cy="248335"/>
        </a:xfrm>
        <a:prstGeom prst="rect">
          <a:avLst/>
        </a:prstGeom>
      </xdr:spPr>
    </xdr:pic>
    <xdr:clientData/>
  </xdr:twoCellAnchor>
  <xdr:twoCellAnchor editAs="oneCell">
    <xdr:from>
      <xdr:col>14</xdr:col>
      <xdr:colOff>556248</xdr:colOff>
      <xdr:row>5</xdr:row>
      <xdr:rowOff>164051</xdr:rowOff>
    </xdr:from>
    <xdr:to>
      <xdr:col>15</xdr:col>
      <xdr:colOff>152991</xdr:colOff>
      <xdr:row>7</xdr:row>
      <xdr:rowOff>2160</xdr:rowOff>
    </xdr:to>
    <xdr:pic>
      <xdr:nvPicPr>
        <xdr:cNvPr id="46" name="Graphic 45" descr="Earth globe: Americas with solid fill">
          <a:extLst>
            <a:ext uri="{FF2B5EF4-FFF2-40B4-BE49-F238E27FC236}">
              <a16:creationId xmlns:a16="http://schemas.microsoft.com/office/drawing/2014/main" id="{36D3F9BC-0496-9D1C-ABD4-EA7435E01028}"/>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9380784" y="1276938"/>
          <a:ext cx="205558" cy="204707"/>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0.01753</cdr:x>
      <cdr:y>0.01314</cdr:y>
    </cdr:from>
    <cdr:to>
      <cdr:x>0.09418</cdr:x>
      <cdr:y>0.08558</cdr:y>
    </cdr:to>
    <cdr:pic>
      <cdr:nvPicPr>
        <cdr:cNvPr id="3" name="Graphic 2" descr="Map with pin with solid fill">
          <a:extLst xmlns:a="http://schemas.openxmlformats.org/drawingml/2006/main">
            <a:ext uri="{FF2B5EF4-FFF2-40B4-BE49-F238E27FC236}">
              <a16:creationId xmlns:a16="http://schemas.microsoft.com/office/drawing/2014/main" id="{A0F94B2D-243D-943F-E80E-CF32DFD5B33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3366" y="50266"/>
          <a:ext cx="277058" cy="277058"/>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5</xdr:row>
      <xdr:rowOff>12700</xdr:rowOff>
    </xdr:from>
    <xdr:to>
      <xdr:col>24</xdr:col>
      <xdr:colOff>336550</xdr:colOff>
      <xdr:row>5</xdr:row>
      <xdr:rowOff>12700</xdr:rowOff>
    </xdr:to>
    <xdr:cxnSp macro="">
      <xdr:nvCxnSpPr>
        <xdr:cNvPr id="2" name="Straight Connector 1">
          <a:extLst>
            <a:ext uri="{FF2B5EF4-FFF2-40B4-BE49-F238E27FC236}">
              <a16:creationId xmlns:a16="http://schemas.microsoft.com/office/drawing/2014/main" id="{4817B486-D4C0-48AE-BC7D-18E5489A80B9}"/>
            </a:ext>
          </a:extLst>
        </xdr:cNvPr>
        <xdr:cNvCxnSpPr/>
      </xdr:nvCxnSpPr>
      <xdr:spPr>
        <a:xfrm>
          <a:off x="0" y="933450"/>
          <a:ext cx="14966950" cy="0"/>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xdr:row>
      <xdr:rowOff>6350</xdr:rowOff>
    </xdr:from>
    <xdr:to>
      <xdr:col>2</xdr:col>
      <xdr:colOff>209550</xdr:colOff>
      <xdr:row>4</xdr:row>
      <xdr:rowOff>146050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E732BF80-9E60-4D05-9D9B-BD57EA2775E8}"/>
            </a:ext>
          </a:extLst>
        </xdr:cNvPr>
        <xdr:cNvSpPr/>
      </xdr:nvSpPr>
      <xdr:spPr>
        <a:xfrm>
          <a:off x="0" y="558800"/>
          <a:ext cx="1428750" cy="3238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b="1"/>
            <a:t>Active Dashboard</a:t>
          </a:r>
        </a:p>
      </xdr:txBody>
    </xdr:sp>
    <xdr:clientData/>
  </xdr:twoCellAnchor>
  <xdr:twoCellAnchor>
    <xdr:from>
      <xdr:col>2</xdr:col>
      <xdr:colOff>254000</xdr:colOff>
      <xdr:row>3</xdr:row>
      <xdr:rowOff>6350</xdr:rowOff>
    </xdr:from>
    <xdr:to>
      <xdr:col>4</xdr:col>
      <xdr:colOff>488950</xdr:colOff>
      <xdr:row>4</xdr:row>
      <xdr:rowOff>146050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EBFC918-A01A-4475-8C4E-B7A89D90F34B}"/>
            </a:ext>
          </a:extLst>
        </xdr:cNvPr>
        <xdr:cNvSpPr/>
      </xdr:nvSpPr>
      <xdr:spPr>
        <a:xfrm>
          <a:off x="1473200" y="558800"/>
          <a:ext cx="1454150" cy="32385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US" sz="1050" b="1"/>
            <a:t>Saperation</a:t>
          </a:r>
          <a:r>
            <a:rPr lang="en-US" sz="1050" b="1" baseline="0"/>
            <a:t> Dashboard</a:t>
          </a:r>
          <a:endParaRPr lang="en-US" sz="105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203819445" backgroundQuery="1" createdVersion="8" refreshedVersion="8" minRefreshableVersion="3" recordCount="0" supportSubquery="1" supportAdvancedDrill="1" xr:uid="{379EC065-5F73-4656-821F-EED4B71A6C4E}">
  <cacheSource type="external" connectionId="6"/>
  <cacheFields count="5">
    <cacheField name="[HR Data].[EthnicGroup].[EthnicGroup]" caption="EthnicGroup" numFmtId="0" hierarchy="4" level="1">
      <sharedItems count="7">
        <s v="Group A"/>
        <s v="Group B"/>
        <s v="Group C"/>
        <s v="Group D"/>
        <s v="Group E"/>
        <s v="Group F"/>
        <s v="Group G"/>
      </sharedItems>
    </cacheField>
    <cacheField name="[HR Data].[Gender].[Gender]" caption="Gender" numFmtId="0" hierarchy="2" level="1">
      <sharedItems count="2">
        <s v="Female"/>
        <s v="Male"/>
      </sharedItems>
    </cacheField>
    <cacheField name="[Measures].[Active Employ]" caption="Active Employ" numFmtId="0" hierarchy="27" level="32767"/>
    <cacheField name="[HR Data].[FP].[FP]" caption="FP" numFmtId="0" hierarchy="5" level="1">
      <sharedItems count="2">
        <s v="FT"/>
        <s v="PT"/>
      </sharedItems>
    </cacheField>
    <cacheField name="[HR Data].[BU Region].[BU Region]" caption="BU Region" numFmtId="0" hierarchy="8"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1"/>
      </fieldsUsage>
    </cacheHierarchy>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0"/>
      </fieldsUsage>
    </cacheHierarchy>
    <cacheHierarchy uniqueName="[HR Data].[FP]" caption="FP" attribute="1" defaultMemberUniqueName="[HR Data].[FP].[All]" allUniqueName="[HR Data].[FP].[All]" dimensionUniqueName="[HR Data]" displayFolder="" count="2" memberValueDatatype="130" unbalanced="0">
      <fieldsUsage count="2">
        <fieldUsage x="-1"/>
        <fieldUsage x="3"/>
      </fieldsUsage>
    </cacheHierarchy>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fieldsUsage count="2">
        <fieldUsage x="-1"/>
        <fieldUsage x="4"/>
      </fieldsUsage>
    </cacheHierarchy>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0"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2"/>
      </fieldsUsage>
    </cacheHierarchy>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81944443" backgroundQuery="1" createdVersion="8" refreshedVersion="8" minRefreshableVersion="3" recordCount="0" supportSubquery="1" supportAdvancedDrill="1" xr:uid="{8E7FB1CD-BEE7-4762-8F4D-EBF2F8F384B6}">
  <cacheSource type="external" connectionId="6"/>
  <cacheFields count="4">
    <cacheField name="[HR Data].[BU Region].[BU Region]" caption="BU Region" numFmtId="0" hierarchy="8" level="1">
      <sharedItems count="7">
        <s v="Central"/>
        <s v="East"/>
        <s v="Midwest"/>
        <s v="North"/>
        <s v="Northwest"/>
        <s v="South"/>
        <s v="West"/>
      </sharedItems>
    </cacheField>
    <cacheField name="[HR Data].[FP].[FP]" caption="FP" numFmtId="0" hierarchy="5" level="1">
      <sharedItems count="2">
        <s v="FT"/>
        <s v="PT"/>
      </sharedItems>
    </cacheField>
    <cacheField name="[Measures].[Active Employ]" caption="Active Employ" numFmtId="0" hierarchy="27" level="32767"/>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2" memberValueDatatype="7" unbalanced="0"/>
    <cacheHierarchy uniqueName="[HR Data].[EmpID]" caption="EmpID" attribute="1" defaultMemberUniqueName="[HR Data].[EmpID].[All]" allUniqueName="[HR Data].[EmpID].[All]" dimensionUniqueName="[HR Data]" displayFolder="" count="2" memberValueDatatype="20" unbalanced="0"/>
    <cacheHierarchy uniqueName="[HR Data].[Gender]" caption="Gender" attribute="1" defaultMemberUniqueName="[HR Data].[Gender].[All]" allUniqueName="[HR Data].[Gender].[All]" dimensionUniqueName="[HR Data]" displayFolder="" count="2" memberValueDatatype="130" unbalanced="0"/>
    <cacheHierarchy uniqueName="[HR Data].[Age]" caption="Age" attribute="1" defaultMemberUniqueName="[HR Data].[Age].[All]" allUniqueName="[HR Data].[Age].[All]" dimensionUniqueName="[HR Data]" displayFolder="" count="2"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fieldsUsage count="2">
        <fieldUsage x="-1"/>
        <fieldUsage x="1"/>
      </fieldsUsage>
    </cacheHierarchy>
    <cacheHierarchy uniqueName="[HR Data].[TermDate]" caption="TermDate" attribute="1" time="1" defaultMemberUniqueName="[HR Data].[TermDate].[All]" allUniqueName="[HR Data].[TermDate].[All]" dimensionUniqueName="[HR Data]" displayFolder="" count="2" memberValueDatatype="7" unbalanced="0"/>
    <cacheHierarchy uniqueName="[HR Data].[isNewHire]" caption="isNewHire" attribute="1" defaultMemberUniqueName="[HR Data].[isNewHire].[All]" allUniqueName="[HR Data].[isNewHire].[All]" dimensionUniqueName="[HR Data]" displayFolder="" count="2" memberValueDatatype="130" unbalanced="0"/>
    <cacheHierarchy uniqueName="[HR Data].[BU Region]" caption="BU Region" attribute="1" defaultMemberUniqueName="[HR Data].[BU Region].[All]" allUniqueName="[HR Data].[BU Region].[All]" dimensionUniqueName="[HR Data]" displayFolder="" count="2" memberValueDatatype="130" unbalanced="0">
      <fieldsUsage count="2">
        <fieldUsage x="-1"/>
        <fieldUsage x="0"/>
      </fieldsUsage>
    </cacheHierarchy>
    <cacheHierarchy uniqueName="[HR Data].[HireDate]" caption="HireDate" attribute="1" defaultMemberUniqueName="[HR Data].[HireDate].[All]" allUniqueName="[HR Data].[HireDate].[All]" dimensionUniqueName="[HR Data]" displayFolder="" count="2" memberValueDatatype="130" unbalanced="0"/>
    <cacheHierarchy uniqueName="[HR Data].[PayType]" caption="PayType" attribute="1" defaultMemberUniqueName="[HR Data].[PayType].[All]" allUniqueName="[HR Data].[PayType].[All]" dimensionUniqueName="[HR Data]" displayFolder="" count="2" memberValueDatatype="130" unbalanced="0"/>
    <cacheHierarchy uniqueName="[HR Data].[TermReason]" caption="TermReason" attribute="1" defaultMemberUniqueName="[HR Data].[TermReason].[All]" allUniqueName="[HR Data].[TermReason].[All]" dimensionUniqueName="[HR Data]" displayFolder="" count="2" memberValueDatatype="130" unbalanced="0"/>
    <cacheHierarchy uniqueName="[HR Data].[AgeGroup]" caption="AgeGroup" attribute="1" defaultMemberUniqueName="[HR Data].[AgeGroup].[All]" allUniqueName="[HR Data].[AgeGroup].[All]" dimensionUniqueName="[HR Data]" displayFolder="" count="2" memberValueDatatype="130" unbalanced="0"/>
    <cacheHierarchy uniqueName="[HR Data].[TenureDays]" caption="TenureDays" attribute="1" defaultMemberUniqueName="[HR Data].[TenureDays].[All]" allUniqueName="[HR Data].[TenureDays].[All]" dimensionUniqueName="[HR Data]" displayFolder="" count="2" memberValueDatatype="20" unbalanced="0"/>
    <cacheHierarchy uniqueName="[HR Data].[TenureMonths]" caption="TenureMonths" attribute="1" defaultMemberUniqueName="[HR Data].[TenureMonths].[All]" allUniqueName="[HR Data].[TenureMonths].[All]" dimensionUniqueName="[HR Data]" displayFolder="" count="2" memberValueDatatype="5" unbalanced="0"/>
    <cacheHierarchy uniqueName="[HR Data].[BadHires]" caption="BadHires" attribute="1" defaultMemberUniqueName="[HR Data].[BadHires].[All]" allUniqueName="[HR Data].[BadHires].[All]" dimensionUniqueName="[HR Data]" displayFolder="" count="2" memberValueDatatype="20" unbalanced="0"/>
    <cacheHierarchy uniqueName="[HR Data].[Date (Year)]" caption="Date (Year)" attribute="1" defaultMemberUniqueName="[HR Data].[Date (Year)].[All]" allUniqueName="[HR Data].[Date (Year)].[All]" dimensionUniqueName="[HR Data]" displayFolder="" count="2" memberValueDatatype="130" unbalanced="0"/>
    <cacheHierarchy uniqueName="[HR Data].[Date (Quarter)]" caption="Date (Quarter)" attribute="1" defaultMemberUniqueName="[HR Data].[Date (Quarter)].[All]" allUniqueName="[HR Data].[Date (Quarter)].[All]" dimensionUniqueName="[HR Data]" displayFolder="" count="2" memberValueDatatype="130" unbalanced="0"/>
    <cacheHierarchy uniqueName="[HR Data].[Date (Month)]" caption="Date (Month)" attribute="1" defaultMemberUniqueName="[HR Data].[Date (Month)].[All]" allUniqueName="[HR Data].[Date (Month)].[All]" dimensionUniqueName="[HR Data]" displayFolder="" count="2" memberValueDatatype="130" unbalanced="0"/>
    <cacheHierarchy uniqueName="[HR Data].[Date (Month Index)]" caption="Date (Month Index)" attribute="1" defaultMemberUniqueName="[HR Data].[Date (Month Index)].[All]" allUniqueName="[HR Data].[Date (Month Index)].[All]" dimensionUniqueName="[HR Data]" displayFolder="" count="2"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2"/>
      </fieldsUsage>
    </cacheHierarchy>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76504631" backgroundQuery="1" createdVersion="8" refreshedVersion="8" minRefreshableVersion="3" recordCount="0" supportSubquery="1" supportAdvancedDrill="1" xr:uid="{A091E0C3-7940-483B-944F-92C8F6D41AE9}">
  <cacheSource type="external" connectionId="6"/>
  <cacheFields count="4">
    <cacheField name="[HR Data].[Gender].[Gender]" caption="Gender" numFmtId="0" hierarchy="2" level="1">
      <sharedItems count="2">
        <s v="Female"/>
        <s v="Male"/>
      </sharedItems>
    </cacheField>
    <cacheField name="[Measures].[Active Employ]" caption="Active Employ" numFmtId="0" hierarchy="27" level="32767"/>
    <cacheField name="[HR Data].[FP].[FP]" caption="FP" numFmtId="0" hierarchy="5" level="1">
      <sharedItems count="2">
        <s v="FT"/>
        <s v="PT"/>
      </sharedItems>
    </cacheField>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fieldsUsage count="2">
        <fieldUsage x="-1"/>
        <fieldUsage x="2"/>
      </fieldsUsage>
    </cacheHierarchy>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0"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1"/>
      </fieldsUsage>
    </cacheHierarchy>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76967593" backgroundQuery="1" createdVersion="8" refreshedVersion="8" minRefreshableVersion="3" recordCount="0" supportSubquery="1" supportAdvancedDrill="1" xr:uid="{9AC57607-0757-4887-B757-E3D53141A340}">
  <cacheSource type="external" connectionId="6"/>
  <cacheFields count="3">
    <cacheField name="[HR Data].[Gender].[Gender]" caption="Gender" numFmtId="0" hierarchy="2" level="1">
      <sharedItems count="2">
        <s v="Female"/>
        <s v="Male"/>
      </sharedItems>
    </cacheField>
    <cacheField name="[Measures].[Active Employ]" caption="Active Employ" numFmtId="0" hierarchy="27" level="32767"/>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2"/>
      </fieldsUsage>
    </cacheHierarchy>
    <cacheHierarchy uniqueName="[HR Data].[FP]" caption="FP" attribute="1" defaultMemberUniqueName="[HR Data].[FP].[All]" allUniqueName="[HR Data].[FP].[All]" dimensionUniqueName="[HR Data]" displayFolder="" count="0" memberValueDatatype="130" unbalanced="0"/>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0"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1"/>
      </fieldsUsage>
    </cacheHierarchy>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77314816" backgroundQuery="1" createdVersion="8" refreshedVersion="8" minRefreshableVersion="3" recordCount="0" supportSubquery="1" supportAdvancedDrill="1" xr:uid="{717DDED5-276C-48C6-BB3C-7BFEA189D428}">
  <cacheSource type="external" connectionId="6"/>
  <cacheFields count="4">
    <cacheField name="[HR Data].[Gender].[Gender]" caption="Gender" numFmtId="0" hierarchy="2" level="1">
      <sharedItems count="2">
        <s v="Female"/>
        <s v="Male"/>
      </sharedItems>
    </cacheField>
    <cacheField name="[HR Data].[PayType].[PayType]" caption="PayType" numFmtId="0" hierarchy="10" level="1">
      <sharedItems count="2">
        <s v="Hourly"/>
        <s v="Salary"/>
      </sharedItems>
    </cacheField>
    <cacheField name="[Measures].[Active Employ]" caption="Active Employ" numFmtId="0" hierarchy="27" level="32767"/>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2" memberValueDatatype="130" unbalanced="0">
      <fieldsUsage count="2">
        <fieldUsage x="-1"/>
        <fieldUsage x="1"/>
      </fieldsUsage>
    </cacheHierarchy>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0"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2"/>
      </fieldsUsage>
    </cacheHierarchy>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78125001" backgroundQuery="1" createdVersion="8" refreshedVersion="8" minRefreshableVersion="3" recordCount="0" supportSubquery="1" supportAdvancedDrill="1" xr:uid="{0BFD7F8D-83A4-4011-8603-ED164FBEABFE}">
  <cacheSource type="external" connectionId="6"/>
  <cacheFields count="4">
    <cacheField name="[HR Data].[Gender].[Gender]" caption="Gender" numFmtId="0" hierarchy="2" level="1">
      <sharedItems count="2">
        <s v="Female"/>
        <s v="Male"/>
      </sharedItems>
    </cacheField>
    <cacheField name="[Measures].[Active Employ]" caption="Active Employ" numFmtId="0" hierarchy="27" level="32767"/>
    <cacheField name="[HR Data].[AgeGroup].[AgeGroup]" caption="AgeGroup" numFmtId="0" hierarchy="12" level="1">
      <sharedItems count="3">
        <s v="&lt;30"/>
        <s v="30-49"/>
        <s v="50+"/>
      </sharedItems>
    </cacheField>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2" memberValueDatatype="7" unbalanced="0"/>
    <cacheHierarchy uniqueName="[HR Data].[EmpID]" caption="EmpID" attribute="1" defaultMemberUniqueName="[HR Data].[EmpID].[All]" allUniqueName="[HR Data].[EmpID].[All]" dimensionUniqueName="[HR Data]" displayFolder="" count="2"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Age]" caption="Age" attribute="1" defaultMemberUniqueName="[HR Data].[Age].[All]" allUniqueName="[HR Data].[Age].[All]" dimensionUniqueName="[HR Data]" displayFolder="" count="2"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2" memberValueDatatype="7" unbalanced="0"/>
    <cacheHierarchy uniqueName="[HR Data].[isNewHire]" caption="isNewHire" attribute="1" defaultMemberUniqueName="[HR Data].[isNewHire].[All]" allUniqueName="[HR Data].[isNewHire].[All]" dimensionUniqueName="[HR Data]" displayFolder="" count="2"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2" memberValueDatatype="130" unbalanced="0"/>
    <cacheHierarchy uniqueName="[HR Data].[PayType]" caption="PayType" attribute="1" defaultMemberUniqueName="[HR Data].[PayType].[All]" allUniqueName="[HR Data].[PayType].[All]" dimensionUniqueName="[HR Data]" displayFolder="" count="2" memberValueDatatype="130" unbalanced="0"/>
    <cacheHierarchy uniqueName="[HR Data].[TermReason]" caption="TermReason" attribute="1" defaultMemberUniqueName="[HR Data].[TermReason].[All]" allUniqueName="[HR Data].[TermReason].[All]" dimensionUniqueName="[HR Data]" displayFolder="" count="2" memberValueDatatype="130" unbalanced="0"/>
    <cacheHierarchy uniqueName="[HR Data].[AgeGroup]" caption="AgeGroup" attribute="1" defaultMemberUniqueName="[HR Data].[AgeGroup].[All]" allUniqueName="[HR Data].[AgeGroup].[All]" dimensionUniqueName="[HR Data]" displayFolder="" count="2" memberValueDatatype="130" unbalanced="0">
      <fieldsUsage count="2">
        <fieldUsage x="-1"/>
        <fieldUsage x="2"/>
      </fieldsUsage>
    </cacheHierarchy>
    <cacheHierarchy uniqueName="[HR Data].[TenureDays]" caption="TenureDays" attribute="1" defaultMemberUniqueName="[HR Data].[TenureDays].[All]" allUniqueName="[HR Data].[TenureDays].[All]" dimensionUniqueName="[HR Data]" displayFolder="" count="2" memberValueDatatype="20" unbalanced="0"/>
    <cacheHierarchy uniqueName="[HR Data].[TenureMonths]" caption="TenureMonths" attribute="1" defaultMemberUniqueName="[HR Data].[TenureMonths].[All]" allUniqueName="[HR Data].[TenureMonths].[All]" dimensionUniqueName="[HR Data]" displayFolder="" count="2" memberValueDatatype="5" unbalanced="0"/>
    <cacheHierarchy uniqueName="[HR Data].[BadHires]" caption="BadHires" attribute="1" defaultMemberUniqueName="[HR Data].[BadHires].[All]" allUniqueName="[HR Data].[BadHires].[All]" dimensionUniqueName="[HR Data]" displayFolder="" count="2" memberValueDatatype="20" unbalanced="0"/>
    <cacheHierarchy uniqueName="[HR Data].[Date (Year)]" caption="Date (Year)" attribute="1" defaultMemberUniqueName="[HR Data].[Date (Year)].[All]" allUniqueName="[HR Data].[Date (Year)].[All]" dimensionUniqueName="[HR Data]" displayFolder="" count="2" memberValueDatatype="130" unbalanced="0"/>
    <cacheHierarchy uniqueName="[HR Data].[Date (Quarter)]" caption="Date (Quarter)" attribute="1" defaultMemberUniqueName="[HR Data].[Date (Quarter)].[All]" allUniqueName="[HR Data].[Date (Quarter)].[All]" dimensionUniqueName="[HR Data]" displayFolder="" count="2" memberValueDatatype="130" unbalanced="0"/>
    <cacheHierarchy uniqueName="[HR Data].[Date (Month)]" caption="Date (Month)" attribute="1" defaultMemberUniqueName="[HR Data].[Date (Month)].[All]" allUniqueName="[HR Data].[Date (Month)].[All]" dimensionUniqueName="[HR Data]" displayFolder="" count="2" memberValueDatatype="130" unbalanced="0"/>
    <cacheHierarchy uniqueName="[HR Data].[Date (Month Index)]" caption="Date (Month Index)" attribute="1" defaultMemberUniqueName="[HR Data].[Date (Month Index)].[All]" allUniqueName="[HR Data].[Date (Month Index)].[All]" dimensionUniqueName="[HR Data]" displayFolder="" count="2"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1"/>
      </fieldsUsage>
    </cacheHierarchy>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78472225" backgroundQuery="1" createdVersion="8" refreshedVersion="8" minRefreshableVersion="3" recordCount="0" supportSubquery="1" supportAdvancedDrill="1" xr:uid="{C2C4B2AB-D50D-44A3-B107-CB8C03CBB360}">
  <cacheSource type="external" connectionId="6"/>
  <cacheFields count="4">
    <cacheField name="[Measures].[To %]" caption="To %" numFmtId="0" hierarchy="31" level="32767"/>
    <cacheField name="[HR Data].[Gender].[Gender]" caption="Gender" numFmtId="0" hierarchy="2" level="1">
      <sharedItems count="2">
        <s v="Female"/>
        <s v="Male"/>
      </sharedItems>
    </cacheField>
    <cacheField name="[HR Data].[Date (Year)].[Date (Year)]" caption="Date (Year)" numFmtId="0" hierarchy="16" level="1">
      <sharedItems count="4">
        <s v="2015"/>
        <s v="2016"/>
        <s v="2017"/>
        <s v="2018"/>
      </sharedItems>
    </cacheField>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1"/>
      </fieldsUsage>
    </cacheHierarchy>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2" memberValueDatatype="130" unbalanced="0">
      <fieldsUsage count="2">
        <fieldUsage x="-1"/>
        <fieldUsage x="2"/>
      </fieldsUsage>
    </cacheHierarchy>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oneField="1">
      <fieldsUsage count="1">
        <fieldUsage x="0"/>
      </fieldsUsage>
    </cacheHierarchy>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7928241" backgroundQuery="1" createdVersion="8" refreshedVersion="8" minRefreshableVersion="3" recordCount="0" supportSubquery="1" supportAdvancedDrill="1" xr:uid="{B152C541-C28C-4332-9589-E9EFB6154FBF}">
  <cacheSource type="external" connectionId="6"/>
  <cacheFields count="4">
    <cacheField name="[HR Data].[Date (Year)].[Date (Year)]" caption="Date (Year)" numFmtId="0" hierarchy="16" level="1">
      <sharedItems count="4">
        <s v="2015"/>
        <s v="2016"/>
        <s v="2017"/>
        <s v="2018"/>
      </sharedItems>
    </cacheField>
    <cacheField name="[Measures].[Sum of BadHires]" caption="Sum of BadHires" numFmtId="0" hierarchy="24" level="32767"/>
    <cacheField name="[Measures].[Separation]" caption="Separation" numFmtId="0" hierarchy="30" level="32767"/>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2" memberValueDatatype="7" unbalanced="0"/>
    <cacheHierarchy uniqueName="[HR Data].[EmpID]" caption="EmpID" attribute="1" defaultMemberUniqueName="[HR Data].[EmpID].[All]" allUniqueName="[HR Data].[EmpID].[All]" dimensionUniqueName="[HR Data]" displayFolder="" count="2" memberValueDatatype="20" unbalanced="0"/>
    <cacheHierarchy uniqueName="[HR Data].[Gender]" caption="Gender" attribute="1" defaultMemberUniqueName="[HR Data].[Gender].[All]" allUniqueName="[HR Data].[Gender].[All]" dimensionUniqueName="[HR Data]" displayFolder="" count="2" memberValueDatatype="130" unbalanced="0"/>
    <cacheHierarchy uniqueName="[HR Data].[Age]" caption="Age" attribute="1" defaultMemberUniqueName="[HR Data].[Age].[All]" allUniqueName="[HR Data].[Age].[All]" dimensionUniqueName="[HR Data]" displayFolder="" count="2"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2" memberValueDatatype="7" unbalanced="0"/>
    <cacheHierarchy uniqueName="[HR Data].[isNewHire]" caption="isNewHire" attribute="1" defaultMemberUniqueName="[HR Data].[isNewHire].[All]" allUniqueName="[HR Data].[isNewHire].[All]" dimensionUniqueName="[HR Data]" displayFolder="" count="2"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2" memberValueDatatype="130" unbalanced="0"/>
    <cacheHierarchy uniqueName="[HR Data].[PayType]" caption="PayType" attribute="1" defaultMemberUniqueName="[HR Data].[PayType].[All]" allUniqueName="[HR Data].[PayType].[All]" dimensionUniqueName="[HR Data]" displayFolder="" count="2" memberValueDatatype="130" unbalanced="0"/>
    <cacheHierarchy uniqueName="[HR Data].[TermReason]" caption="TermReason" attribute="1" defaultMemberUniqueName="[HR Data].[TermReason].[All]" allUniqueName="[HR Data].[TermReason].[All]" dimensionUniqueName="[HR Data]" displayFolder="" count="2" memberValueDatatype="130" unbalanced="0"/>
    <cacheHierarchy uniqueName="[HR Data].[AgeGroup]" caption="AgeGroup" attribute="1" defaultMemberUniqueName="[HR Data].[AgeGroup].[All]" allUniqueName="[HR Data].[AgeGroup].[All]" dimensionUniqueName="[HR Data]" displayFolder="" count="2" memberValueDatatype="130" unbalanced="0"/>
    <cacheHierarchy uniqueName="[HR Data].[TenureDays]" caption="TenureDays" attribute="1" defaultMemberUniqueName="[HR Data].[TenureDays].[All]" allUniqueName="[HR Data].[TenureDays].[All]" dimensionUniqueName="[HR Data]" displayFolder="" count="2" memberValueDatatype="20" unbalanced="0"/>
    <cacheHierarchy uniqueName="[HR Data].[TenureMonths]" caption="TenureMonths" attribute="1" defaultMemberUniqueName="[HR Data].[TenureMonths].[All]" allUniqueName="[HR Data].[TenureMonths].[All]" dimensionUniqueName="[HR Data]" displayFolder="" count="2" memberValueDatatype="5" unbalanced="0"/>
    <cacheHierarchy uniqueName="[HR Data].[BadHires]" caption="BadHires" attribute="1" defaultMemberUniqueName="[HR Data].[BadHires].[All]" allUniqueName="[HR Data].[BadHires].[All]" dimensionUniqueName="[HR Data]" displayFolder="" count="2" memberValueDatatype="20" unbalanced="0"/>
    <cacheHierarchy uniqueName="[HR Data].[Date (Year)]" caption="Date (Year)" attribute="1" defaultMemberUniqueName="[HR Data].[Date (Year)].[All]" allUniqueName="[HR Data].[Date (Year)].[All]" dimensionUniqueName="[HR Data]" displayFolder="" count="2" memberValueDatatype="130" unbalanced="0">
      <fieldsUsage count="2">
        <fieldUsage x="-1"/>
        <fieldUsage x="0"/>
      </fieldsUsage>
    </cacheHierarchy>
    <cacheHierarchy uniqueName="[HR Data].[Date (Quarter)]" caption="Date (Quarter)" attribute="1" defaultMemberUniqueName="[HR Data].[Date (Quarter)].[All]" allUniqueName="[HR Data].[Date (Quarter)].[All]" dimensionUniqueName="[HR Data]" displayFolder="" count="2" memberValueDatatype="130" unbalanced="0"/>
    <cacheHierarchy uniqueName="[HR Data].[Date (Month)]" caption="Date (Month)" attribute="1" defaultMemberUniqueName="[HR Data].[Date (Month)].[All]" allUniqueName="[HR Data].[Date (Month)].[All]" dimensionUniqueName="[HR Data]" displayFolder="" count="2" memberValueDatatype="130" unbalanced="0"/>
    <cacheHierarchy uniqueName="[HR Data].[Date (Month Index)]" caption="Date (Month Index)" attribute="1" defaultMemberUniqueName="[HR Data].[Date (Month Index)].[All]" allUniqueName="[HR Data].[Date (Month Index)].[All]" dimensionUniqueName="[HR Data]" displayFolder="" count="2"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oneField="1">
      <fieldsUsage count="1">
        <fieldUsage x="1"/>
      </fieldsUsage>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oneField="1">
      <fieldsUsage count="1">
        <fieldUsage x="2"/>
      </fieldsUsage>
    </cacheHierarchy>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81134257" backgroundQuery="1" createdVersion="8" refreshedVersion="8" minRefreshableVersion="3" recordCount="0" supportSubquery="1" supportAdvancedDrill="1" xr:uid="{6BDE1654-4008-4785-94CA-A67499C8FA85}">
  <cacheSource type="external" connectionId="6"/>
  <cacheFields count="4">
    <cacheField name="[HR Data].[Date (Year)].[Date (Year)]" caption="Date (Year)" numFmtId="0" hierarchy="16" level="1">
      <sharedItems count="4">
        <s v="2015"/>
        <s v="2016"/>
        <s v="2017"/>
        <s v="2018"/>
      </sharedItems>
    </cacheField>
    <cacheField name="[Measures].[Separation]" caption="Separation" numFmtId="0" hierarchy="30" level="32767"/>
    <cacheField name="[HR Data].[TermReason].[TermReason]" caption="TermReason" numFmtId="0" hierarchy="11" level="1">
      <sharedItems count="2">
        <s v="Involuntary"/>
        <s v="Voluntary"/>
      </sharedItems>
    </cacheField>
    <cacheField name="[HR Data].[EthnicGroup].[EthnicGroup]" caption="EthnicGroup" numFmtId="0" hierarchy="4" level="1">
      <sharedItems containsSemiMixedTypes="0" containsNonDate="0" containsString="0"/>
    </cacheField>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3"/>
      </fieldsUsage>
    </cacheHierarchy>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2" memberValueDatatype="130" unbalanced="0">
      <fieldsUsage count="2">
        <fieldUsage x="-1"/>
        <fieldUsage x="2"/>
      </fieldsUsage>
    </cacheHierarchy>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2" memberValueDatatype="130" unbalanced="0">
      <fieldsUsage count="2">
        <fieldUsage x="-1"/>
        <fieldUsage x="0"/>
      </fieldsUsage>
    </cacheHierarchy>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oneField="1">
      <fieldsUsage count="1">
        <fieldUsage x="1"/>
      </fieldsUsage>
    </cacheHierarchy>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1580208334" backgroundQuery="1" createdVersion="8" refreshedVersion="8" minRefreshableVersion="3" recordCount="0" supportSubquery="1" supportAdvancedDrill="1" xr:uid="{3B1BCF48-54C7-4401-AD35-8EBBFB68B811}">
  <cacheSource type="external" connectionId="6"/>
  <cacheFields count="4">
    <cacheField name="[HR Data].[EthnicGroup].[EthnicGroup]" caption="EthnicGroup" numFmtId="0" hierarchy="4" level="1">
      <sharedItems count="7">
        <s v="Group A"/>
        <s v="Group B"/>
        <s v="Group C"/>
        <s v="Group D"/>
        <s v="Group E"/>
        <s v="Group F"/>
        <s v="Group G"/>
      </sharedItems>
    </cacheField>
    <cacheField name="[HR Data].[Gender].[Gender]" caption="Gender" numFmtId="0" hierarchy="2" level="1">
      <sharedItems count="2">
        <s v="Female"/>
        <s v="Male"/>
      </sharedItems>
    </cacheField>
    <cacheField name="[HR Data].[FP].[FP]" caption="FP" numFmtId="0" hierarchy="5" level="1">
      <sharedItems count="2">
        <s v="FT"/>
        <s v="PT"/>
      </sharedItems>
    </cacheField>
    <cacheField name="[Measures].[Avg Tenure Month]" caption="Avg Tenure Month" numFmtId="0" hierarchy="29" level="32767"/>
  </cacheFields>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fieldsUsage count="2">
        <fieldUsage x="-1"/>
        <fieldUsage x="1"/>
      </fieldsUsage>
    </cacheHierarchy>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fieldsUsage count="2">
        <fieldUsage x="-1"/>
        <fieldUsage x="0"/>
      </fieldsUsage>
    </cacheHierarchy>
    <cacheHierarchy uniqueName="[HR Data].[FP]" caption="FP" attribute="1" defaultMemberUniqueName="[HR Data].[FP].[All]" allUniqueName="[HR Data].[FP].[All]" dimensionUniqueName="[HR Data]" displayFolder="" count="2" memberValueDatatype="130" unbalanced="0">
      <fieldsUsage count="2">
        <fieldUsage x="-1"/>
        <fieldUsage x="2"/>
      </fieldsUsage>
    </cacheHierarchy>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0"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cacheHierarchy uniqueName="[Measures].[New Employ]" caption="New Employ" measure="1" displayFolder="" measureGroup="HR Data" count="0"/>
    <cacheHierarchy uniqueName="[Measures].[Avg Tenure Month]" caption="Avg Tenure Month" measure="1" displayFolder="" measureGroup="HR Data" count="0" oneField="1">
      <fieldsUsage count="1">
        <fieldUsage x="3"/>
      </fieldsUsage>
    </cacheHierarchy>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85501273151" backgroundQuery="1" createdVersion="8" refreshedVersion="8" minRefreshableVersion="3" recordCount="0" supportSubquery="1" supportAdvancedDrill="1" xr:uid="{1AAAE70F-2F74-4CBD-87B8-BE30140B2CD9}">
  <cacheSource type="external" connectionId="6"/>
  <cacheFields count="6">
    <cacheField name="[HR Data].[Date].[Date]" caption="Date" numFmtId="0" level="1">
      <sharedItems containsSemiMixedTypes="0" containsNonDate="0" containsDate="1" containsString="0" minDate="2015-01-01T00:00:00" maxDate="2018-12-02T00:00:00" count="48">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sharedItems>
    </cacheField>
    <cacheField name="[HR Data].[Date (Month)].[Date (Month)]" caption="Date (Month)" numFmtId="0" hierarchy="18" level="1">
      <sharedItems count="12">
        <s v="Jan"/>
        <s v="Feb"/>
        <s v="Mar"/>
        <s v="Apr"/>
        <s v="May"/>
        <s v="Jun"/>
        <s v="Jul"/>
        <s v="Aug"/>
        <s v="Sep"/>
        <s v="Oct"/>
        <s v="Nov"/>
        <s v="Dec"/>
      </sharedItems>
    </cacheField>
    <cacheField name="[HR Data].[Date (Quarter)].[Date (Quarter)]" caption="Date (Quarter)" numFmtId="0" hierarchy="17" level="1">
      <sharedItems count="4">
        <s v="Qtr1"/>
        <s v="Qtr2"/>
        <s v="Qtr3"/>
        <s v="Qtr4"/>
      </sharedItems>
    </cacheField>
    <cacheField name="[HR Data].[Date (Year)].[Date (Year)]" caption="Date (Year)" numFmtId="0" hierarchy="16" level="1">
      <sharedItems count="4">
        <s v="2015"/>
        <s v="2016"/>
        <s v="2017"/>
        <s v="2018"/>
      </sharedItems>
    </cacheField>
    <cacheField name="[Measures].[Active Employ]" caption="Active Employ" numFmtId="0" hierarchy="27" level="32767"/>
    <cacheField name="[Measures].[New Employ]" caption="New Employ" numFmtId="0" hierarchy="28" level="32767"/>
  </cacheFields>
  <cacheHierarchies count="34">
    <cacheHierarchy uniqueName="[HR Data].[Date]" caption="Date" attribute="1" time="1" defaultMemberUniqueName="[HR Data].[Date].[All]" allUniqueName="[HR Data].[Date].[All]" dimensionUniqueName="[HR Data]" displayFolder="" count="2" memberValueDatatype="7" unbalanced="0">
      <fieldsUsage count="2">
        <fieldUsage x="-1"/>
        <fieldUsage x="0"/>
      </fieldsUsage>
    </cacheHierarchy>
    <cacheHierarchy uniqueName="[HR Data].[EmpID]" caption="EmpID" attribute="1" defaultMemberUniqueName="[HR Data].[EmpID].[All]" allUniqueName="[HR Data].[EmpID].[All]" dimensionUniqueName="[HR Data]" displayFolder="" count="2" memberValueDatatype="20" unbalanced="0"/>
    <cacheHierarchy uniqueName="[HR Data].[Gender]" caption="Gender" attribute="1" defaultMemberUniqueName="[HR Data].[Gender].[All]" allUniqueName="[HR Data].[Gender].[All]" dimensionUniqueName="[HR Data]" displayFolder="" count="2" memberValueDatatype="130" unbalanced="0"/>
    <cacheHierarchy uniqueName="[HR Data].[Age]" caption="Age" attribute="1" defaultMemberUniqueName="[HR Data].[Age].[All]" allUniqueName="[HR Data].[Age].[All]" dimensionUniqueName="[HR Data]" displayFolder="" count="2" memberValueDatatype="20" unbalanced="0"/>
    <cacheHierarchy uniqueName="[HR Data].[EthnicGroup]" caption="EthnicGroup" attribute="1" defaultMemberUniqueName="[HR Data].[EthnicGroup].[All]" allUniqueName="[HR Data].[EthnicGroup].[All]" dimensionUniqueName="[HR Data]" displayFolder="" count="2" memberValueDatatype="130" unbalanced="0"/>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2" memberValueDatatype="7" unbalanced="0"/>
    <cacheHierarchy uniqueName="[HR Data].[isNewHire]" caption="isNewHire" attribute="1" defaultMemberUniqueName="[HR Data].[isNewHire].[All]" allUniqueName="[HR Data].[isNewHire].[All]" dimensionUniqueName="[HR Data]" displayFolder="" count="2"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2" memberValueDatatype="130" unbalanced="0"/>
    <cacheHierarchy uniqueName="[HR Data].[PayType]" caption="PayType" attribute="1" defaultMemberUniqueName="[HR Data].[PayType].[All]" allUniqueName="[HR Data].[PayType].[All]" dimensionUniqueName="[HR Data]" displayFolder="" count="2" memberValueDatatype="130" unbalanced="0"/>
    <cacheHierarchy uniqueName="[HR Data].[TermReason]" caption="TermReason" attribute="1" defaultMemberUniqueName="[HR Data].[TermReason].[All]" allUniqueName="[HR Data].[TermReason].[All]" dimensionUniqueName="[HR Data]" displayFolder="" count="2" memberValueDatatype="130" unbalanced="0"/>
    <cacheHierarchy uniqueName="[HR Data].[AgeGroup]" caption="AgeGroup" attribute="1" defaultMemberUniqueName="[HR Data].[AgeGroup].[All]" allUniqueName="[HR Data].[AgeGroup].[All]" dimensionUniqueName="[HR Data]" displayFolder="" count="2" memberValueDatatype="130" unbalanced="0"/>
    <cacheHierarchy uniqueName="[HR Data].[TenureDays]" caption="TenureDays" attribute="1" defaultMemberUniqueName="[HR Data].[TenureDays].[All]" allUniqueName="[HR Data].[TenureDays].[All]" dimensionUniqueName="[HR Data]" displayFolder="" count="2" memberValueDatatype="20" unbalanced="0"/>
    <cacheHierarchy uniqueName="[HR Data].[TenureMonths]" caption="TenureMonths" attribute="1" defaultMemberUniqueName="[HR Data].[TenureMonths].[All]" allUniqueName="[HR Data].[TenureMonths].[All]" dimensionUniqueName="[HR Data]" displayFolder="" count="2" memberValueDatatype="5" unbalanced="0"/>
    <cacheHierarchy uniqueName="[HR Data].[BadHires]" caption="BadHires" attribute="1" defaultMemberUniqueName="[HR Data].[BadHires].[All]" allUniqueName="[HR Data].[BadHires].[All]" dimensionUniqueName="[HR Data]" displayFolder="" count="2" memberValueDatatype="20" unbalanced="0"/>
    <cacheHierarchy uniqueName="[HR Data].[Date (Year)]" caption="Date (Year)" attribute="1" defaultMemberUniqueName="[HR Data].[Date (Year)].[All]" allUniqueName="[HR Data].[Date (Year)].[All]" dimensionUniqueName="[HR Data]" displayFolder="" count="2" memberValueDatatype="130" unbalanced="0">
      <fieldsUsage count="2">
        <fieldUsage x="-1"/>
        <fieldUsage x="3"/>
      </fieldsUsage>
    </cacheHierarchy>
    <cacheHierarchy uniqueName="[HR Data].[Date (Quarter)]" caption="Date (Quarter)" attribute="1" defaultMemberUniqueName="[HR Data].[Date (Quarter)].[All]" allUniqueName="[HR Data].[Date (Quarter)].[All]" dimensionUniqueName="[HR Data]" displayFolder="" count="2" memberValueDatatype="130" unbalanced="0">
      <fieldsUsage count="2">
        <fieldUsage x="-1"/>
        <fieldUsage x="2"/>
      </fieldsUsage>
    </cacheHierarchy>
    <cacheHierarchy uniqueName="[HR Data].[Date (Month)]" caption="Date (Month)" attribute="1" defaultMemberUniqueName="[HR Data].[Date (Month)].[All]" allUniqueName="[HR Data].[Date (Month)].[All]" dimensionUniqueName="[HR Data]" displayFolder="" count="2" memberValueDatatype="130" unbalanced="0">
      <fieldsUsage count="2">
        <fieldUsage x="-1"/>
        <fieldUsage x="1"/>
      </fieldsUsage>
    </cacheHierarchy>
    <cacheHierarchy uniqueName="[HR Data].[Date (Month Index)]" caption="Date (Month Index)" attribute="1" defaultMemberUniqueName="[HR Data].[Date (Month Index)].[All]" allUniqueName="[HR Data].[Date (Month Index)].[All]" dimensionUniqueName="[HR Data]" displayFolder="" count="2"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oneField="1">
      <fieldsUsage count="1">
        <fieldUsage x="4"/>
      </fieldsUsage>
    </cacheHierarchy>
    <cacheHierarchy uniqueName="[Measures].[New Employ]" caption="New Employ" measure="1" displayFolder="" measureGroup="HR Data" count="0" oneField="1">
      <fieldsUsage count="1">
        <fieldUsage x="5"/>
      </fieldsUsage>
    </cacheHierarchy>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61806365741" backgroundQuery="1" createdVersion="3" refreshedVersion="8" minRefreshableVersion="3" recordCount="0" supportSubquery="1" supportAdvancedDrill="1" xr:uid="{59D6198A-1B67-4751-AEA4-7A53226FD8B5}">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0" memberValueDatatype="130" unbalanced="0"/>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2" memberValueDatatype="130" unbalanced="0"/>
    <cacheHierarchy uniqueName="[HR Data].[FP]" caption="FP" attribute="1" defaultMemberUniqueName="[HR Data].[FP].[All]" allUniqueName="[HR Data].[FP].[All]" dimensionUniqueName="[HR Data]" displayFolder="" count="2" memberValueDatatype="130" unbalanced="0"/>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2"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0"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6485840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a" refreshedDate="46110.376249768517" backgroundQuery="1" createdVersion="3" refreshedVersion="8" minRefreshableVersion="3" recordCount="0" supportSubquery="1" supportAdvancedDrill="1" xr:uid="{50C96E27-AE86-430E-AEAE-62A2C93DE2C6}">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HR Data].[Date]" caption="Date" attribute="1" time="1" defaultMemberUniqueName="[HR Data].[Date].[All]" allUniqueName="[HR Data].[Date].[All]" dimensionUniqueName="[HR Data]" displayFolder="" count="0" memberValueDatatype="7" unbalanced="0"/>
    <cacheHierarchy uniqueName="[HR Data].[EmpID]" caption="EmpID" attribute="1" defaultMemberUniqueName="[HR Data].[EmpID].[All]" allUniqueName="[HR Data].[EmpID].[All]" dimensionUniqueName="[HR Data]" displayFolder="" count="0" memberValueDatatype="20" unbalanced="0"/>
    <cacheHierarchy uniqueName="[HR Data].[Gender]" caption="Gender" attribute="1" defaultMemberUniqueName="[HR Data].[Gender].[All]" allUniqueName="[HR Data].[Gender].[All]" dimensionUniqueName="[HR Data]" displayFolder="" count="2" memberValueDatatype="130" unbalanced="0"/>
    <cacheHierarchy uniqueName="[HR Data].[Age]" caption="Age" attribute="1" defaultMemberUniqueName="[HR Data].[Age].[All]" allUniqueName="[HR Data].[Age].[All]" dimensionUniqueName="[HR Data]" displayFolder="" count="0" memberValueDatatype="20" unbalanced="0"/>
    <cacheHierarchy uniqueName="[HR Data].[EthnicGroup]" caption="EthnicGroup" attribute="1" defaultMemberUniqueName="[HR Data].[EthnicGroup].[All]" allUniqueName="[HR Data].[EthnicGroup].[All]" dimensionUniqueName="[HR Data]" displayFolder="" count="0" memberValueDatatype="130" unbalanced="0"/>
    <cacheHierarchy uniqueName="[HR Data].[FP]" caption="FP" attribute="1" defaultMemberUniqueName="[HR Data].[FP].[All]" allUniqueName="[HR Data].[FP].[All]" dimensionUniqueName="[HR Data]" displayFolder="" count="0" memberValueDatatype="130" unbalanced="0"/>
    <cacheHierarchy uniqueName="[HR Data].[TermDate]" caption="TermDate" attribute="1" time="1" defaultMemberUniqueName="[HR Data].[TermDate].[All]" allUniqueName="[HR Data].[TermDate].[All]" dimensionUniqueName="[HR Data]" displayFolder="" count="0" memberValueDatatype="7" unbalanced="0"/>
    <cacheHierarchy uniqueName="[HR Data].[isNewHire]" caption="isNewHire" attribute="1" defaultMemberUniqueName="[HR Data].[isNewHire].[All]" allUniqueName="[HR Data].[isNewHire].[All]" dimensionUniqueName="[HR Data]" displayFolder="" count="0" memberValueDatatype="130" unbalanced="0"/>
    <cacheHierarchy uniqueName="[HR Data].[BU Region]" caption="BU Region" attribute="1" defaultMemberUniqueName="[HR Data].[BU Region].[All]" allUniqueName="[HR Data].[BU Region].[All]" dimensionUniqueName="[HR Data]" displayFolder="" count="0" memberValueDatatype="130" unbalanced="0"/>
    <cacheHierarchy uniqueName="[HR Data].[HireDate]" caption="HireDate" attribute="1" defaultMemberUniqueName="[HR Data].[HireDate].[All]" allUniqueName="[HR Data].[HireDate].[All]" dimensionUniqueName="[HR Data]" displayFolder="" count="0" memberValueDatatype="130" unbalanced="0"/>
    <cacheHierarchy uniqueName="[HR Data].[PayType]" caption="PayType" attribute="1" defaultMemberUniqueName="[HR Data].[PayType].[All]" allUniqueName="[HR Data].[PayType].[All]" dimensionUniqueName="[HR Data]" displayFolder="" count="0" memberValueDatatype="130" unbalanced="0"/>
    <cacheHierarchy uniqueName="[HR Data].[TermReason]" caption="TermReason" attribute="1" defaultMemberUniqueName="[HR Data].[TermReason].[All]" allUniqueName="[HR Data].[TermReason].[All]" dimensionUniqueName="[HR Data]" displayFolder="" count="0" memberValueDatatype="130" unbalanced="0"/>
    <cacheHierarchy uniqueName="[HR Data].[AgeGroup]" caption="AgeGroup" attribute="1" defaultMemberUniqueName="[HR Data].[AgeGroup].[All]" allUniqueName="[HR Data].[AgeGroup].[All]" dimensionUniqueName="[HR Data]" displayFolder="" count="0" memberValueDatatype="130" unbalanced="0"/>
    <cacheHierarchy uniqueName="[HR Data].[TenureDays]" caption="TenureDays" attribute="1" defaultMemberUniqueName="[HR Data].[TenureDays].[All]" allUniqueName="[HR Data].[TenureDays].[All]" dimensionUniqueName="[HR Data]" displayFolder="" count="0" memberValueDatatype="20" unbalanced="0"/>
    <cacheHierarchy uniqueName="[HR Data].[TenureMonths]" caption="TenureMonths" attribute="1" defaultMemberUniqueName="[HR Data].[TenureMonths].[All]" allUniqueName="[HR Data].[TenureMonths].[All]" dimensionUniqueName="[HR Data]" displayFolder="" count="0" memberValueDatatype="5" unbalanced="0"/>
    <cacheHierarchy uniqueName="[HR Data].[BadHires]" caption="BadHires" attribute="1" defaultMemberUniqueName="[HR Data].[BadHires].[All]" allUniqueName="[HR Data].[BadHires].[All]" dimensionUniqueName="[HR Data]" displayFolder="" count="0" memberValueDatatype="20" unbalanced="0"/>
    <cacheHierarchy uniqueName="[HR Data].[Date (Year)]" caption="Date (Year)" attribute="1" defaultMemberUniqueName="[HR Data].[Date (Year)].[All]" allUniqueName="[HR Data].[Date (Year)].[All]" dimensionUniqueName="[HR Data]" displayFolder="" count="2" memberValueDatatype="130" unbalanced="0"/>
    <cacheHierarchy uniqueName="[HR Data].[Date (Quarter)]" caption="Date (Quarter)" attribute="1" defaultMemberUniqueName="[HR Data].[Date (Quarter)].[All]" allUniqueName="[HR Data].[Date (Quarter)].[All]" dimensionUniqueName="[HR Data]" displayFolder="" count="0" memberValueDatatype="130" unbalanced="0"/>
    <cacheHierarchy uniqueName="[HR Data].[Date (Month)]" caption="Date (Month)" attribute="1" defaultMemberUniqueName="[HR Data].[Date (Month)].[All]" allUniqueName="[HR Data].[Date (Month)].[All]" dimensionUniqueName="[HR Data]" displayFolder="" count="0" memberValueDatatype="130" unbalanced="0"/>
    <cacheHierarchy uniqueName="[HR Data].[Date (Month Index)]" caption="Date (Month Index)" attribute="1" defaultMemberUniqueName="[HR Data].[Date (Month Index)].[All]" allUniqueName="[HR Data].[Date (Month Index)].[All]" dimensionUniqueName="[HR Data]" displayFolder="" count="0" memberValueDatatype="20" unbalanced="0" hidden="1"/>
    <cacheHierarchy uniqueName="[Measures].[Sum of EmpID]" caption="Sum of EmpID" measure="1" displayFolder="" measureGroup="HR Data" count="0">
      <extLst>
        <ext xmlns:x15="http://schemas.microsoft.com/office/spreadsheetml/2010/11/main" uri="{B97F6D7D-B522-45F9-BDA1-12C45D357490}">
          <x15:cacheHierarchy aggregatedColumn="1"/>
        </ext>
      </extLst>
    </cacheHierarchy>
    <cacheHierarchy uniqueName="[Measures].[Count of EmpID]" caption="Count of EmpID" measure="1" displayFolder="" measureGroup="HR Data" count="0">
      <extLst>
        <ext xmlns:x15="http://schemas.microsoft.com/office/spreadsheetml/2010/11/main" uri="{B97F6D7D-B522-45F9-BDA1-12C45D357490}">
          <x15:cacheHierarchy aggregatedColumn="1"/>
        </ext>
      </extLst>
    </cacheHierarchy>
    <cacheHierarchy uniqueName="[Measures].[Sum of TenureMonths]" caption="Sum of TenureMonths" measure="1" displayFolder="" measureGroup="HR Data" count="0">
      <extLst>
        <ext xmlns:x15="http://schemas.microsoft.com/office/spreadsheetml/2010/11/main" uri="{B97F6D7D-B522-45F9-BDA1-12C45D357490}">
          <x15:cacheHierarchy aggregatedColumn="14"/>
        </ext>
      </extLst>
    </cacheHierarchy>
    <cacheHierarchy uniqueName="[Measures].[Average of TenureMonths]" caption="Average of TenureMonths" measure="1" displayFolder="" measureGroup="HR Data" count="0">
      <extLst>
        <ext xmlns:x15="http://schemas.microsoft.com/office/spreadsheetml/2010/11/main" uri="{B97F6D7D-B522-45F9-BDA1-12C45D357490}">
          <x15:cacheHierarchy aggregatedColumn="14"/>
        </ext>
      </extLst>
    </cacheHierarchy>
    <cacheHierarchy uniqueName="[Measures].[Sum of BadHires]" caption="Sum of BadHires" measure="1" displayFolder="" measureGroup="HR Data" count="0">
      <extLst>
        <ext xmlns:x15="http://schemas.microsoft.com/office/spreadsheetml/2010/11/main" uri="{B97F6D7D-B522-45F9-BDA1-12C45D357490}">
          <x15:cacheHierarchy aggregatedColumn="15"/>
        </ext>
      </extLst>
    </cacheHierarchy>
    <cacheHierarchy uniqueName="[Measures].[Count of BadHires]" caption="Count of BadHires" measure="1" displayFolder="" measureGroup="HR Data" count="0">
      <extLst>
        <ext xmlns:x15="http://schemas.microsoft.com/office/spreadsheetml/2010/11/main" uri="{B97F6D7D-B522-45F9-BDA1-12C45D357490}">
          <x15:cacheHierarchy aggregatedColumn="15"/>
        </ext>
      </extLst>
    </cacheHierarchy>
    <cacheHierarchy uniqueName="[Measures].[EmpCount]" caption="EmpCount" measure="1" displayFolder="" measureGroup="HR Data" count="0"/>
    <cacheHierarchy uniqueName="[Measures].[Active Employ]" caption="Active Employ" measure="1" displayFolder="" measureGroup="HR Data" count="0"/>
    <cacheHierarchy uniqueName="[Measures].[New Employ]" caption="New Employ" measure="1" displayFolder="" measureGroup="HR Data" count="0"/>
    <cacheHierarchy uniqueName="[Measures].[Avg Tenure Month]" caption="Avg Tenure Month" measure="1" displayFolder="" measureGroup="HR Data" count="0"/>
    <cacheHierarchy uniqueName="[Measures].[Separation]" caption="Separation" measure="1" displayFolder="" measureGroup="HR Data" count="0"/>
    <cacheHierarchy uniqueName="[Measures].[To %]" caption="To %" measure="1" displayFolder="" measureGroup="HR Data" count="0"/>
    <cacheHierarchy uniqueName="[Measures].[__XL_Count HR Data]" caption="__XL_Count HR Data" measure="1" displayFolder="" measureGroup="HR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66796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7FDE9-A86F-4118-985F-648D0C55E709}" name="EthnicGroup" cacheId="224" applyNumberFormats="0" applyBorderFormats="0" applyFontFormats="0" applyPatternFormats="0" applyAlignmentFormats="0" applyWidthHeightFormats="1" dataCaption="Values" tag="c5ede1ba-e635-4dc3-bc9a-145d4427f67f" updatedVersion="8" minRefreshableVersion="3" useAutoFormatting="1" subtotalHiddenItems="1" itemPrintTitles="1" createdVersion="8" indent="0" outline="1" outlineData="1" multipleFieldFilters="0" chartFormat="6">
  <location ref="A3:D12" firstHeaderRow="1" firstDataRow="2" firstDataCol="1"/>
  <pivotFields count="5">
    <pivotField axis="axisRow" allDrilled="1" subtotalTop="0" showAll="0" dataSourceSort="1" defaultSubtotal="0">
      <items count="7">
        <item x="0" e="0"/>
        <item x="1" e="0"/>
        <item x="2" e="0"/>
        <item x="3" e="0"/>
        <item x="4" e="0"/>
        <item x="5" e="0"/>
        <item x="6" e="0"/>
      </items>
    </pivotField>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0"/>
    <field x="1"/>
  </rowFields>
  <rowItems count="8">
    <i>
      <x/>
    </i>
    <i>
      <x v="1"/>
    </i>
    <i>
      <x v="2"/>
    </i>
    <i>
      <x v="3"/>
    </i>
    <i>
      <x v="4"/>
    </i>
    <i>
      <x v="5"/>
    </i>
    <i>
      <x v="6"/>
    </i>
    <i t="grand">
      <x/>
    </i>
  </rowItems>
  <colFields count="1">
    <field x="3"/>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45E56-5EC3-40D8-B4F2-2B7ADFA0EDEB}" name="Tenure" cacheId="261" applyNumberFormats="0" applyBorderFormats="0" applyFontFormats="0" applyPatternFormats="0" applyAlignmentFormats="0" applyWidthHeightFormats="1" dataCaption="Values" tag="16c5d762-f212-4f4d-90ca-908dea7feb56" updatedVersion="8" minRefreshableVersion="3" useAutoFormatting="1" itemPrintTitles="1" createdVersion="8" indent="0" outline="1" outlineData="1" multipleFieldFilters="0">
  <location ref="A27:D33"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1"/>
  </colFields>
  <colItems count="3">
    <i>
      <x/>
    </i>
    <i>
      <x v="1"/>
    </i>
    <i t="grand">
      <x/>
    </i>
  </colItems>
  <dataFields count="1">
    <dataField fld="0" subtotal="count" baseField="0" baseItem="0"/>
  </dataField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B8B98-28FF-4F43-9DCF-657DCD3E5595}" name="PivotTable2" cacheId="259" applyNumberFormats="0" applyBorderFormats="0" applyFontFormats="0" applyPatternFormats="0" applyAlignmentFormats="0" applyWidthHeightFormats="1" dataCaption="Values" tag="ef86aae8-c86d-4919-9e65-d6f4032e0435" updatedVersion="8" minRefreshableVersion="3" useAutoFormatting="1" itemPrintTitles="1" createdVersion="8" indent="0" outline="1" outlineData="1" multipleFieldFilters="0" chartFormat="5">
  <location ref="A20:D25"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3">
    <i>
      <x/>
    </i>
    <i>
      <x v="1"/>
    </i>
    <i t="grand">
      <x/>
    </i>
  </colItems>
  <dataFields count="1">
    <dataField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3299D5-52A5-436E-B5C4-F2041AAAE3E0}" name="FP" cacheId="253" applyNumberFormats="0" applyBorderFormats="0" applyFontFormats="0" applyPatternFormats="0" applyAlignmentFormats="0" applyWidthHeightFormats="1" dataCaption="Values" tag="189ba831-a514-40b5-b93a-0ff99fca7c70" updatedVersion="8" minRefreshableVersion="3" useAutoFormatting="1" subtotalHiddenItems="1" itemPrintTitles="1" createdVersion="8" indent="0" outline="1" outlineData="1" multipleFieldFilters="0" chartFormat="2">
  <location ref="A14:D18"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fld="1" subtotal="count" showDataAs="percentOfCol" baseField="0" baseItem="0" numFmtId="1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1C831F-DB48-42DE-A772-1A98B1AC50A5}" name="Paytype" cacheId="257" applyNumberFormats="0" applyBorderFormats="0" applyFontFormats="0" applyPatternFormats="0" applyAlignmentFormats="0" applyWidthHeightFormats="1" dataCaption="Values" tag="462ef1eb-7556-42a0-be1d-0b887992c740" updatedVersion="8" minRefreshableVersion="3" useAutoFormatting="1" itemPrintTitles="1" createdVersion="8" indent="0" outline="1" outlineData="1" multipleFieldFilters="0">
  <location ref="A8:D12"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3">
    <i>
      <x/>
    </i>
    <i>
      <x v="1"/>
    </i>
    <i t="grand">
      <x/>
    </i>
  </colItems>
  <dataFields count="1">
    <dataField fld="2" subtotal="count" showDataAs="percentOfCol" baseField="0" baseItem="0" numFmtId="10"/>
  </dataField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499767-1194-4F60-9800-71F0D7B1FAEB}" name="Gender" cacheId="255" applyNumberFormats="0" applyBorderFormats="0" applyFontFormats="0" applyPatternFormats="0" applyAlignmentFormats="0" applyWidthHeightFormats="1" dataCaption="Values" tag="df530c6d-7a19-4c67-8397-8df8c08cfed3" updatedVersion="8" minRefreshableVersion="3" useAutoFormatting="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AADCE8-1FA6-4F22-80BC-2520C09FC3F0}" name="separation" cacheId="263" applyNumberFormats="0" applyBorderFormats="0" applyFontFormats="0" applyPatternFormats="0" applyAlignmentFormats="0" applyWidthHeightFormats="1" dataCaption="Values" tag="dd339066-41de-4c09-a9ef-bd5ad130beb8" updatedVersion="8" minRefreshableVersion="3" useAutoFormatting="1" subtotalHiddenItems="1" itemPrintTitles="1" createdVersion="8" indent="0" outline="1" outlineData="1" multipleFieldFilters="0" chartFormat="12">
  <location ref="A3:C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2" subtotal="count" baseField="0" baseItem="0"/>
    <dataField name="BadHires" fld="1" baseField="0" baseItem="0"/>
  </dataFields>
  <chartFormats count="16">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0" count="1" selected="0">
            <x v="0"/>
          </reference>
        </references>
      </pivotArea>
    </chartFormat>
    <chartFormat chart="9" format="28">
      <pivotArea type="data" outline="0" fieldPosition="0">
        <references count="2">
          <reference field="4294967294" count="1" selected="0">
            <x v="0"/>
          </reference>
          <reference field="0" count="1" selected="0">
            <x v="1"/>
          </reference>
        </references>
      </pivotArea>
    </chartFormat>
    <chartFormat chart="9" format="29" series="1">
      <pivotArea type="data" outline="0" fieldPosition="0">
        <references count="1">
          <reference field="4294967294" count="1" selected="0">
            <x v="1"/>
          </reference>
        </references>
      </pivotArea>
    </chartFormat>
    <chartFormat chart="9" format="30">
      <pivotArea type="data" outline="0" fieldPosition="0">
        <references count="2">
          <reference field="4294967294" count="1" selected="0">
            <x v="1"/>
          </reference>
          <reference field="0" count="1" selected="0">
            <x v="0"/>
          </reference>
        </references>
      </pivotArea>
    </chartFormat>
    <chartFormat chart="9" format="31">
      <pivotArea type="data" outline="0" fieldPosition="0">
        <references count="2">
          <reference field="4294967294" count="1" selected="0">
            <x v="1"/>
          </reference>
          <reference field="0" count="1" selected="0">
            <x v="1"/>
          </reference>
        </references>
      </pivotArea>
    </chartFormat>
    <chartFormat chart="9" format="32">
      <pivotArea type="data" outline="0" fieldPosition="0">
        <references count="2">
          <reference field="4294967294" count="1" selected="0">
            <x v="1"/>
          </reference>
          <reference field="0" count="1" selected="0">
            <x v="2"/>
          </reference>
        </references>
      </pivotArea>
    </chartFormat>
    <chartFormat chart="9" format="33">
      <pivotArea type="data" outline="0" fieldPosition="0">
        <references count="2">
          <reference field="4294967294" count="1" selected="0">
            <x v="1"/>
          </reference>
          <reference field="0" count="1" selected="0">
            <x v="3"/>
          </reference>
        </references>
      </pivotArea>
    </chartFormat>
    <chartFormat chart="10" format="34" series="1">
      <pivotArea type="data" outline="0" fieldPosition="0">
        <references count="1">
          <reference field="4294967294" count="1" selected="0">
            <x v="0"/>
          </reference>
        </references>
      </pivotArea>
    </chartFormat>
    <chartFormat chart="10" format="35">
      <pivotArea type="data" outline="0" fieldPosition="0">
        <references count="2">
          <reference field="4294967294" count="1" selected="0">
            <x v="0"/>
          </reference>
          <reference field="0" count="1" selected="0">
            <x v="0"/>
          </reference>
        </references>
      </pivotArea>
    </chartFormat>
    <chartFormat chart="10" format="36">
      <pivotArea type="data" outline="0" fieldPosition="0">
        <references count="2">
          <reference field="4294967294" count="1" selected="0">
            <x v="0"/>
          </reference>
          <reference field="0" count="1" selected="0">
            <x v="1"/>
          </reference>
        </references>
      </pivotArea>
    </chartFormat>
    <chartFormat chart="10" format="37" series="1">
      <pivotArea type="data" outline="0" fieldPosition="0">
        <references count="1">
          <reference field="4294967294" count="1" selected="0">
            <x v="1"/>
          </reference>
        </references>
      </pivotArea>
    </chartFormat>
    <chartFormat chart="10" format="38">
      <pivotArea type="data" outline="0" fieldPosition="0">
        <references count="2">
          <reference field="4294967294" count="1" selected="0">
            <x v="1"/>
          </reference>
          <reference field="0" count="1" selected="0">
            <x v="0"/>
          </reference>
        </references>
      </pivotArea>
    </chartFormat>
    <chartFormat chart="10" format="39">
      <pivotArea type="data" outline="0" fieldPosition="0">
        <references count="2">
          <reference field="4294967294" count="1" selected="0">
            <x v="1"/>
          </reference>
          <reference field="0" count="1" selected="0">
            <x v="1"/>
          </reference>
        </references>
      </pivotArea>
    </chartFormat>
    <chartFormat chart="10" format="40">
      <pivotArea type="data" outline="0" fieldPosition="0">
        <references count="2">
          <reference field="4294967294" count="1" selected="0">
            <x v="1"/>
          </reference>
          <reference field="0" count="1" selected="0">
            <x v="2"/>
          </reference>
        </references>
      </pivotArea>
    </chartFormat>
    <chartFormat chart="10" format="41">
      <pivotArea type="data" outline="0" fieldPosition="0">
        <references count="2">
          <reference field="4294967294" count="1" selected="0">
            <x v="1"/>
          </reference>
          <reference field="0" count="1" selected="0">
            <x v="3"/>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adHire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A03695-1027-43EA-AD4F-5FF15E5A8C30}" name="Tenure Reason" cacheId="268" applyNumberFormats="0" applyBorderFormats="0" applyFontFormats="0" applyPatternFormats="0" applyAlignmentFormats="0" applyWidthHeightFormats="1" dataCaption="Values" tag="e334e489-7672-4e05-9cfc-df8ad3e1fc8e" updatedVersion="8" minRefreshableVersion="3" useAutoFormatting="1" subtotalHiddenItems="1" itemPrintTitles="1" createdVersion="8" indent="0" outline="1" outlineData="1" multipleFieldFilters="0" chartFormat="17">
  <location ref="A3:D9"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fld="1" subtotal="count" baseField="0" baseItem="0"/>
  </dataFields>
  <chartFormats count="4">
    <chartFormat chart="0" format="18" series="1">
      <pivotArea type="data" outline="0" fieldPosition="0">
        <references count="1">
          <reference field="4294967294" count="1" selected="0">
            <x v="0"/>
          </reference>
        </references>
      </pivotArea>
    </chartFormat>
    <chartFormat chart="8" format="24" series="1">
      <pivotArea type="data" outline="0" fieldPosition="0">
        <references count="1">
          <reference field="4294967294" count="1" selected="0">
            <x v="0"/>
          </reference>
        </references>
      </pivotArea>
    </chartFormat>
    <chartFormat chart="15" format="41" series="1">
      <pivotArea type="data" outline="0" fieldPosition="0">
        <references count="2">
          <reference field="4294967294" count="1" selected="0">
            <x v="0"/>
          </reference>
          <reference field="2" count="1" selected="0">
            <x v="0"/>
          </reference>
        </references>
      </pivotArea>
    </chartFormat>
    <chartFormat chart="15" format="42"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C46D13-E24B-461B-ADF9-99F3A11648EE}" name="Regions" cacheId="270" applyNumberFormats="0" applyBorderFormats="0" applyFontFormats="0" applyPatternFormats="0" applyAlignmentFormats="0" applyWidthHeightFormats="1" dataCaption="Values" tag="cdeafb97-a635-419a-b152-38a4193ea5f2" updatedVersion="8" minRefreshableVersion="3" useAutoFormatting="1" subtotalHiddenItems="1" itemPrintTitles="1" createdVersion="8" indent="0" outline="1" outlineData="1" multipleFieldFilters="0" chartFormat="6">
  <location ref="A3:D12"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7524A3-EFA4-49FE-9363-0885CA420CCB}" name="Tenure" cacheId="266" applyNumberFormats="0" applyBorderFormats="0" applyFontFormats="0" applyPatternFormats="0" applyAlignmentFormats="0" applyWidthHeightFormats="1" dataCaption="Values" tag="2c5e755d-104c-4ee4-846b-0e9805ff701b" updatedVersion="8" minRefreshableVersion="3" useAutoFormatting="1" subtotalHiddenItems="1" itemPrintTitles="1" createdVersion="8" indent="0" outline="1" outlineData="1" multipleFieldFilters="0" chartFormat="9">
  <location ref="A3:D12" firstHeaderRow="1" firstDataRow="2" firstDataCol="1"/>
  <pivotFields count="4">
    <pivotField axis="axisRow" allDrilled="1" subtotalTop="0" showAll="0" dataSourceSort="1" defaultSubtotal="0">
      <items count="7">
        <item x="0" e="0"/>
        <item x="1" e="0"/>
        <item x="2" e="0"/>
        <item x="3" e="0"/>
        <item x="4" e="0"/>
        <item x="5" e="0"/>
        <item x="6" e="0"/>
      </items>
    </pivotField>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2">
    <field x="0"/>
    <field x="1"/>
  </rowFields>
  <rowItems count="8">
    <i>
      <x/>
    </i>
    <i>
      <x v="1"/>
    </i>
    <i>
      <x v="2"/>
    </i>
    <i>
      <x v="3"/>
    </i>
    <i>
      <x v="4"/>
    </i>
    <i>
      <x v="5"/>
    </i>
    <i>
      <x v="6"/>
    </i>
    <i t="grand">
      <x/>
    </i>
  </rowItems>
  <colFields count="1">
    <field x="2"/>
  </colFields>
  <colItems count="3">
    <i>
      <x/>
    </i>
    <i>
      <x v="1"/>
    </i>
    <i t="grand">
      <x/>
    </i>
  </colItems>
  <dataFields count="1">
    <dataField fld="3" subtotal="count" baseField="0" baseItem="0"/>
  </dataFields>
  <formats count="17">
    <format dxfId="16">
      <pivotArea type="all" dataOnly="0" outline="0" fieldPosition="0"/>
    </format>
    <format dxfId="15">
      <pivotArea outline="0" collapsedLevelsAreSubtotals="1" fieldPosition="0"/>
    </format>
    <format dxfId="14">
      <pivotArea type="origin" dataOnly="0" labelOnly="1" outline="0" fieldPosition="0"/>
    </format>
    <format dxfId="13">
      <pivotArea field="2" type="button" dataOnly="0" labelOnly="1" outline="0" axis="axisCol" fieldPosition="0"/>
    </format>
    <format dxfId="12">
      <pivotArea type="topRight" dataOnly="0" labelOnly="1" outline="0"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fieldPosition="0">
        <references count="2">
          <reference field="0" count="1" selected="0">
            <x v="0"/>
          </reference>
          <reference field="1" count="0"/>
        </references>
      </pivotArea>
    </format>
    <format dxfId="7">
      <pivotArea dataOnly="0" labelOnly="1" fieldPosition="0">
        <references count="2">
          <reference field="0" count="1" selected="0">
            <x v="1"/>
          </reference>
          <reference field="1" count="0"/>
        </references>
      </pivotArea>
    </format>
    <format dxfId="6">
      <pivotArea dataOnly="0" labelOnly="1" fieldPosition="0">
        <references count="2">
          <reference field="0" count="1" selected="0">
            <x v="2"/>
          </reference>
          <reference field="1" count="0"/>
        </references>
      </pivotArea>
    </format>
    <format dxfId="5">
      <pivotArea dataOnly="0" labelOnly="1" fieldPosition="0">
        <references count="2">
          <reference field="0" count="1" selected="0">
            <x v="3"/>
          </reference>
          <reference field="1" count="0"/>
        </references>
      </pivotArea>
    </format>
    <format dxfId="4">
      <pivotArea dataOnly="0" labelOnly="1" fieldPosition="0">
        <references count="2">
          <reference field="0" count="1" selected="0">
            <x v="4"/>
          </reference>
          <reference field="1" count="0"/>
        </references>
      </pivotArea>
    </format>
    <format dxfId="3">
      <pivotArea dataOnly="0" labelOnly="1" fieldPosition="0">
        <references count="2">
          <reference field="0" count="1" selected="0">
            <x v="5"/>
          </reference>
          <reference field="1" count="0"/>
        </references>
      </pivotArea>
    </format>
    <format dxfId="2">
      <pivotArea dataOnly="0" labelOnly="1" fieldPosition="0">
        <references count="2">
          <reference field="0" count="1" selected="0">
            <x v="6"/>
          </reference>
          <reference field="1" count="0"/>
        </references>
      </pivotArea>
    </format>
    <format dxfId="1">
      <pivotArea dataOnly="0" labelOnly="1" fieldPosition="0">
        <references count="1">
          <reference field="2" count="0"/>
        </references>
      </pivotArea>
    </format>
    <format dxfId="0">
      <pivotArea dataOnly="0" labelOnly="1" grandCol="1" outline="0" fieldPosition="0"/>
    </format>
  </formats>
  <chartFormats count="4">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enureMonth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3163AE-5F33-4617-A90C-93B3DEEEC57F}" name="ActiveEmp" cacheId="279" applyNumberFormats="0" applyBorderFormats="0" applyFontFormats="0" applyPatternFormats="0" applyAlignmentFormats="0" applyWidthHeightFormats="1" dataCaption="Values" tag="38b5f83c-4464-4480-8bf1-e731d8d3f839" updatedVersion="8" minRefreshableVersion="3" useAutoFormatting="1" subtotalHiddenItems="1" itemPrintTitles="1" createdVersion="8" indent="0" outline="1" outlineData="1" multipleFieldFilters="0" chartFormat="5">
  <location ref="A1:C26" firstHeaderRow="0" firstDataRow="1" firstDataCol="1"/>
  <pivotFields count="6">
    <pivotField axis="axisRow" allDrilled="1" subtotalTop="0" showAll="0" dataSourceSort="1"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allDrilled="1" subtotalTop="0" showAll="0" dataSourceSort="1">
      <items count="13">
        <item x="0" e="0"/>
        <item x="1" e="0"/>
        <item x="2" e="0"/>
        <item x="3" e="0"/>
        <item x="4" e="0"/>
        <item x="5" e="0"/>
        <item x="6" e="0"/>
        <item x="7" e="0"/>
        <item x="8" e="0"/>
        <item x="9" e="0"/>
        <item x="10" e="0"/>
        <item x="11" e="0"/>
        <item t="default"/>
      </items>
    </pivotField>
    <pivotField axis="axisRow" allDrilled="1" subtotalTop="0" showAll="0" dataSourceSort="1">
      <items count="5">
        <item x="0" e="0"/>
        <item x="1" e="0"/>
        <item x="2" e="0"/>
        <item x="3" e="0"/>
        <item t="default"/>
      </items>
    </pivotField>
    <pivotField axis="axisRow" allDrilled="1" subtotalTop="0" showAll="0" dataSourceSort="1" defaultAttributeDrillState="1">
      <items count="5">
        <item x="0"/>
        <item x="1"/>
        <item x="2"/>
        <item x="3"/>
        <item t="default"/>
      </items>
    </pivotField>
    <pivotField dataField="1" subtotalTop="0" showAll="0"/>
    <pivotField dataField="1" subtotalTop="0" showAll="0"/>
  </pivotFields>
  <rowFields count="4">
    <field x="3"/>
    <field x="2"/>
    <field x="1"/>
    <field x="0"/>
  </rowFields>
  <rowItems count="25">
    <i>
      <x/>
    </i>
    <i r="1">
      <x/>
    </i>
    <i r="1">
      <x v="1"/>
    </i>
    <i r="1">
      <x v="2"/>
    </i>
    <i r="1">
      <x v="3"/>
    </i>
    <i t="default">
      <x/>
    </i>
    <i>
      <x v="1"/>
    </i>
    <i r="1">
      <x/>
    </i>
    <i r="1">
      <x v="1"/>
    </i>
    <i r="1">
      <x v="2"/>
    </i>
    <i r="1">
      <x v="3"/>
    </i>
    <i t="default">
      <x v="1"/>
    </i>
    <i>
      <x v="2"/>
    </i>
    <i r="1">
      <x/>
    </i>
    <i r="1">
      <x v="1"/>
    </i>
    <i r="1">
      <x v="2"/>
    </i>
    <i r="1">
      <x v="3"/>
    </i>
    <i t="default">
      <x v="2"/>
    </i>
    <i>
      <x v="3"/>
    </i>
    <i r="1">
      <x/>
    </i>
    <i r="1">
      <x v="1"/>
    </i>
    <i r="1">
      <x v="2"/>
    </i>
    <i r="1">
      <x v="3"/>
    </i>
    <i t="default">
      <x v="3"/>
    </i>
    <i t="grand">
      <x/>
    </i>
  </rowItems>
  <colFields count="1">
    <field x="-2"/>
  </colFields>
  <colItems count="2">
    <i>
      <x/>
    </i>
    <i i="1">
      <x v="1"/>
    </i>
  </colItems>
  <dataFields count="2">
    <dataField fld="4" subtotal="count" baseField="0" baseItem="0"/>
    <dataField fld="5"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4">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8"/>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P" xr10:uid="{91F9EE72-D37B-4130-AA20-81FAB29EAEF0}" sourceName="[HR Data].[FP]">
  <pivotTables>
    <pivotTable tabId="5" name="Regions"/>
    <pivotTable tabId="1" name="ActiveEmp"/>
    <pivotTable tabId="2" name="EthnicGroup"/>
    <pivotTable tabId="8" name="FP"/>
    <pivotTable tabId="8" name="Paytype"/>
    <pivotTable tabId="8" name="PivotTable2"/>
    <pivotTable tabId="8" name="Tenure"/>
    <pivotTable tabId="6" name="separation"/>
    <pivotTable tabId="4" name="Tenure"/>
    <pivotTable tabId="7" name="Tenure Reason"/>
  </pivotTables>
  <data>
    <olap pivotCacheId="2064858400">
      <levels count="2">
        <level uniqueName="[HR Data].[FP].[(All)]" sourceCaption="(All)" count="0"/>
        <level uniqueName="[HR Data].[FP].[FP]" sourceCaption="FP" count="2">
          <ranges>
            <range startItem="0">
              <i n="[HR Data].[FP].&amp;[FT]" c="FT"/>
              <i n="[HR Data].[FP].&amp;[PT]" c="PT"/>
            </range>
          </ranges>
        </level>
      </levels>
      <selections count="1">
        <selection n="[HR Data].[F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_Region" xr10:uid="{5B8334B3-8F58-4F39-98D9-E9379B528E04}" sourceName="[HR Data].[BU Region]">
  <pivotTables>
    <pivotTable tabId="1" name="ActiveEmp"/>
    <pivotTable tabId="2" name="EthnicGroup"/>
    <pivotTable tabId="8" name="FP"/>
    <pivotTable tabId="8" name="Gender"/>
    <pivotTable tabId="8" name="Paytype"/>
    <pivotTable tabId="8" name="PivotTable2"/>
    <pivotTable tabId="8" name="Tenure"/>
    <pivotTable tabId="6" name="separation"/>
    <pivotTable tabId="4" name="Tenure"/>
    <pivotTable tabId="7" name="Tenure Reason"/>
  </pivotTables>
  <data>
    <olap pivotCacheId="2064858400">
      <levels count="2">
        <level uniqueName="[HR Data].[BU Region].[(All)]" sourceCaption="(All)" count="0"/>
        <level uniqueName="[HR Data].[BU Region].[BU Region]" sourceCaption="BU Region" count="7">
          <ranges>
            <range startItem="0">
              <i n="[HR Data].[BU Region].&amp;[Central]" c="Central"/>
              <i n="[HR Data].[BU Region].&amp;[East]" c="East"/>
              <i n="[HR Data].[BU Region].&amp;[Midwest]" c="Midwest"/>
              <i n="[HR Data].[BU Region].&amp;[North]" c="North"/>
              <i n="[HR Data].[BU Region].&amp;[Northwest]" c="Northwest"/>
              <i n="[HR Data].[BU Region].&amp;[South]" c="South"/>
              <i n="[HR Data].[BU Region].&amp;[West]" c="West"/>
            </range>
          </ranges>
        </level>
      </levels>
      <selections count="1">
        <selection n="[HR Data].[BU 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Group" xr10:uid="{312EBEC8-7441-42CA-8E32-8C77606B32AB}" sourceName="[HR Data].[EthnicGroup]">
  <pivotTables>
    <pivotTable tabId="5" name="Regions"/>
    <pivotTable tabId="1" name="ActiveEmp"/>
    <pivotTable tabId="8" name="FP"/>
    <pivotTable tabId="8" name="Gender"/>
    <pivotTable tabId="8" name="Paytype"/>
    <pivotTable tabId="8" name="PivotTable2"/>
    <pivotTable tabId="8" name="Tenure"/>
    <pivotTable tabId="6" name="separation"/>
    <pivotTable tabId="4" name="Tenure"/>
    <pivotTable tabId="7" name="Tenure Reason"/>
  </pivotTables>
  <data>
    <olap pivotCacheId="2064858400">
      <levels count="2">
        <level uniqueName="[HR Data].[EthnicGroup].[(All)]" sourceCaption="(All)" count="0"/>
        <level uniqueName="[HR Data].[EthnicGroup].[EthnicGroup]" sourceCaption="EthnicGroup" count="7">
          <ranges>
            <range startItem="0">
              <i n="[HR Data].[EthnicGroup].&amp;[Group A]" c="Group A"/>
              <i n="[HR Data].[EthnicGroup].&amp;[Group B]" c="Group B"/>
              <i n="[HR Data].[EthnicGroup].&amp;[Group C]" c="Group C"/>
              <i n="[HR Data].[EthnicGroup].&amp;[Group D]" c="Group D"/>
              <i n="[HR Data].[EthnicGroup].&amp;[Group E]" c="Group E"/>
              <i n="[HR Data].[EthnicGroup].&amp;[Group F]" c="Group F"/>
              <i n="[HR Data].[EthnicGroup].&amp;[Group G]" c="Group G"/>
            </range>
          </ranges>
        </level>
      </levels>
      <selections count="1">
        <selection n="[HR Data].[Ethnic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6676C9-E68F-45C4-8B01-B595934CC7FB}" sourceName="[HR Data].[Gender]">
  <pivotTables>
    <pivotTable tabId="6" name="separation"/>
    <pivotTable tabId="1" name="ActiveEmp"/>
    <pivotTable tabId="2" name="EthnicGroup"/>
    <pivotTable tabId="8" name="FP"/>
    <pivotTable tabId="8" name="Paytype"/>
    <pivotTable tabId="8" name="PivotTable2"/>
    <pivotTable tabId="8" name="Tenure"/>
    <pivotTable tabId="5" name="Regions"/>
    <pivotTable tabId="4" name="Tenure"/>
    <pivotTable tabId="7" name="Tenure Reason"/>
  </pivotTables>
  <data>
    <olap pivotCacheId="1676679643">
      <levels count="2">
        <level uniqueName="[HR Data].[Gender].[(All)]" sourceCaption="(All)" count="0"/>
        <level uniqueName="[HR Data].[Gender].[Gender]" sourceCaption="Gender" count="2">
          <ranges>
            <range startItem="0">
              <i n="[HR Data].[Gender].&amp;[Female]" c="Female"/>
              <i n="[HR Data].[Gender].&amp;[Male]" c="Male"/>
            </range>
          </ranges>
        </level>
      </levels>
      <selections count="1">
        <selection n="[HR Data].[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0B43EC3-B4CE-4747-812E-2FCD93772D3F}" sourceName="[HR Data].[Date (Year)]">
  <pivotTables>
    <pivotTable tabId="1" name="ActiveEmp"/>
  </pivotTables>
  <data>
    <olap pivotCacheId="1676679643">
      <levels count="2">
        <level uniqueName="[HR Data].[Date (Year)].[(All)]" sourceCaption="(All)" count="0"/>
        <level uniqueName="[HR Data].[Date (Year)].[Date (Year)]" sourceCaption="Date (Year)" count="4">
          <ranges>
            <range startItem="0">
              <i n="[HR Data].[Date (Year)].&amp;[2015]" c="2015"/>
              <i n="[HR Data].[Date (Year)].&amp;[2016]" c="2016"/>
              <i n="[HR Data].[Date (Year)].&amp;[2017]" c="2017"/>
              <i n="[HR Data].[Date (Year)].&amp;[2018]" c="2018"/>
            </range>
          </ranges>
        </level>
      </levels>
      <selections count="1">
        <selection n="[HR Data].[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P" xr10:uid="{593C08DE-3862-42A2-B463-6EEE59BF306D}" cache="Slicer_FP" caption="FP" columnCount="2" level="1" rowHeight="251883"/>
  <slicer name="BU Region" xr10:uid="{7B37D83D-5310-4464-896A-356F8ED6D9F4}" cache="Slicer_BU_Region" caption=" Region" level="1" rowHeight="251883"/>
  <slicer name="EthnicGroup" xr10:uid="{83DED3BE-68F2-4941-9539-69A6131B97FA}" cache="Slicer_EthnicGroup" caption="Ethnicity" level="1" rowHeight="251883"/>
  <slicer name="Gender" xr10:uid="{B3FE6099-2102-4C2C-ACB1-9AE058F408CE}" cache="Slicer_Gender" caption="Gender" columnCount="2" level="1" rowHeight="251883"/>
  <slicer name="Date (Year)" xr10:uid="{AAAF5C5A-EBA8-459C-BEFF-3FE232E611F8}" cache="Slicer_Date__Year" caption="Year" columnCount="2"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4E122-5D89-4024-A633-0D4E2B0F7589}">
  <dimension ref="A3:D12"/>
  <sheetViews>
    <sheetView workbookViewId="0">
      <selection activeCell="A15" sqref="A15:D19"/>
    </sheetView>
  </sheetViews>
  <sheetFormatPr defaultRowHeight="14.5" x14ac:dyDescent="0.35"/>
  <cols>
    <col min="1" max="1" width="12.54296875" bestFit="1" customWidth="1"/>
    <col min="2" max="2" width="15.6328125" bestFit="1" customWidth="1"/>
    <col min="3" max="3" width="3.81640625" bestFit="1" customWidth="1"/>
    <col min="4" max="4" width="10.36328125" bestFit="1" customWidth="1"/>
    <col min="5" max="5" width="3.81640625" bestFit="1" customWidth="1"/>
    <col min="6" max="6" width="10.36328125" bestFit="1" customWidth="1"/>
  </cols>
  <sheetData>
    <row r="3" spans="1:4" x14ac:dyDescent="0.35">
      <c r="A3" s="1" t="s">
        <v>11</v>
      </c>
      <c r="B3" s="1" t="s">
        <v>25</v>
      </c>
    </row>
    <row r="4" spans="1:4" x14ac:dyDescent="0.35">
      <c r="A4" s="1" t="s">
        <v>0</v>
      </c>
      <c r="B4" t="s">
        <v>26</v>
      </c>
      <c r="C4" t="s">
        <v>27</v>
      </c>
      <c r="D4" t="s">
        <v>1</v>
      </c>
    </row>
    <row r="5" spans="1:4" x14ac:dyDescent="0.35">
      <c r="A5" s="2" t="s">
        <v>16</v>
      </c>
      <c r="B5" s="12">
        <v>34</v>
      </c>
      <c r="C5" s="12">
        <v>60</v>
      </c>
      <c r="D5" s="12">
        <v>94</v>
      </c>
    </row>
    <row r="6" spans="1:4" x14ac:dyDescent="0.35">
      <c r="A6" s="2" t="s">
        <v>17</v>
      </c>
      <c r="B6" s="12">
        <v>40</v>
      </c>
      <c r="C6" s="12">
        <v>52</v>
      </c>
      <c r="D6" s="12">
        <v>92</v>
      </c>
    </row>
    <row r="7" spans="1:4" x14ac:dyDescent="0.35">
      <c r="A7" s="2" t="s">
        <v>18</v>
      </c>
      <c r="B7" s="12">
        <v>25</v>
      </c>
      <c r="C7" s="12">
        <v>66</v>
      </c>
      <c r="D7" s="12">
        <v>91</v>
      </c>
    </row>
    <row r="8" spans="1:4" x14ac:dyDescent="0.35">
      <c r="A8" s="2" t="s">
        <v>19</v>
      </c>
      <c r="B8" s="12">
        <v>32</v>
      </c>
      <c r="C8" s="12">
        <v>59</v>
      </c>
      <c r="D8" s="12">
        <v>91</v>
      </c>
    </row>
    <row r="9" spans="1:4" x14ac:dyDescent="0.35">
      <c r="A9" s="2" t="s">
        <v>20</v>
      </c>
      <c r="B9" s="12">
        <v>40</v>
      </c>
      <c r="C9" s="12">
        <v>52</v>
      </c>
      <c r="D9" s="12">
        <v>92</v>
      </c>
    </row>
    <row r="10" spans="1:4" x14ac:dyDescent="0.35">
      <c r="A10" s="2" t="s">
        <v>21</v>
      </c>
      <c r="B10" s="12">
        <v>37</v>
      </c>
      <c r="C10" s="12">
        <v>65</v>
      </c>
      <c r="D10" s="12">
        <v>102</v>
      </c>
    </row>
    <row r="11" spans="1:4" x14ac:dyDescent="0.35">
      <c r="A11" s="2" t="s">
        <v>22</v>
      </c>
      <c r="B11" s="12">
        <v>39</v>
      </c>
      <c r="C11" s="12">
        <v>49</v>
      </c>
      <c r="D11" s="12">
        <v>88</v>
      </c>
    </row>
    <row r="12" spans="1:4" x14ac:dyDescent="0.35">
      <c r="A12" s="2" t="s">
        <v>1</v>
      </c>
      <c r="B12" s="12">
        <v>247</v>
      </c>
      <c r="C12" s="12">
        <v>403</v>
      </c>
      <c r="D12" s="12">
        <v>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C4F-7BA0-4A5D-A01D-2316FE379A9A}">
  <dimension ref="A3:D33"/>
  <sheetViews>
    <sheetView topLeftCell="A21" workbookViewId="0">
      <selection activeCell="D22" sqref="D22"/>
    </sheetView>
  </sheetViews>
  <sheetFormatPr defaultRowHeight="14.5" x14ac:dyDescent="0.35"/>
  <cols>
    <col min="1" max="1" width="12.453125" bestFit="1" customWidth="1"/>
    <col min="2" max="2" width="15.6328125" bestFit="1" customWidth="1"/>
    <col min="3" max="3" width="6.90625" bestFit="1" customWidth="1"/>
    <col min="4" max="4" width="10.36328125" bestFit="1" customWidth="1"/>
  </cols>
  <sheetData>
    <row r="3" spans="1:4" x14ac:dyDescent="0.35">
      <c r="A3" s="1" t="s">
        <v>0</v>
      </c>
      <c r="B3" t="s">
        <v>11</v>
      </c>
    </row>
    <row r="4" spans="1:4" x14ac:dyDescent="0.35">
      <c r="A4" s="2" t="s">
        <v>23</v>
      </c>
      <c r="B4" s="12">
        <v>297</v>
      </c>
    </row>
    <row r="5" spans="1:4" x14ac:dyDescent="0.35">
      <c r="A5" s="2" t="s">
        <v>24</v>
      </c>
      <c r="B5" s="12">
        <v>353</v>
      </c>
    </row>
    <row r="6" spans="1:4" x14ac:dyDescent="0.35">
      <c r="A6" s="2" t="s">
        <v>1</v>
      </c>
      <c r="B6" s="12">
        <v>650</v>
      </c>
    </row>
    <row r="8" spans="1:4" x14ac:dyDescent="0.35">
      <c r="A8" s="1" t="s">
        <v>11</v>
      </c>
      <c r="B8" s="1" t="s">
        <v>25</v>
      </c>
    </row>
    <row r="9" spans="1:4" x14ac:dyDescent="0.35">
      <c r="A9" s="1" t="s">
        <v>0</v>
      </c>
      <c r="B9" t="s">
        <v>23</v>
      </c>
      <c r="C9" t="s">
        <v>24</v>
      </c>
      <c r="D9" t="s">
        <v>1</v>
      </c>
    </row>
    <row r="10" spans="1:4" x14ac:dyDescent="0.35">
      <c r="A10" s="2" t="s">
        <v>43</v>
      </c>
      <c r="B10" s="9">
        <v>0.81818181818181823</v>
      </c>
      <c r="C10" s="9">
        <v>0.91501416430594906</v>
      </c>
      <c r="D10" s="9">
        <v>0.87076923076923074</v>
      </c>
    </row>
    <row r="11" spans="1:4" x14ac:dyDescent="0.35">
      <c r="A11" s="2" t="s">
        <v>42</v>
      </c>
      <c r="B11" s="9">
        <v>0.18181818181818182</v>
      </c>
      <c r="C11" s="9">
        <v>8.4985835694050993E-2</v>
      </c>
      <c r="D11" s="9">
        <v>0.12923076923076923</v>
      </c>
    </row>
    <row r="12" spans="1:4" x14ac:dyDescent="0.35">
      <c r="A12" s="2" t="s">
        <v>1</v>
      </c>
      <c r="B12" s="9">
        <v>1</v>
      </c>
      <c r="C12" s="9">
        <v>1</v>
      </c>
      <c r="D12" s="9">
        <v>1</v>
      </c>
    </row>
    <row r="14" spans="1:4" x14ac:dyDescent="0.35">
      <c r="A14" s="1" t="s">
        <v>11</v>
      </c>
      <c r="B14" s="1" t="s">
        <v>25</v>
      </c>
    </row>
    <row r="15" spans="1:4" x14ac:dyDescent="0.35">
      <c r="A15" s="1" t="s">
        <v>0</v>
      </c>
      <c r="B15" t="s">
        <v>26</v>
      </c>
      <c r="C15" t="s">
        <v>27</v>
      </c>
      <c r="D15" t="s">
        <v>1</v>
      </c>
    </row>
    <row r="16" spans="1:4" x14ac:dyDescent="0.35">
      <c r="A16" s="2" t="s">
        <v>23</v>
      </c>
      <c r="B16" s="9">
        <v>0.60323886639676116</v>
      </c>
      <c r="C16" s="9">
        <v>0.36724565756823824</v>
      </c>
      <c r="D16" s="9">
        <v>0.45692307692307693</v>
      </c>
    </row>
    <row r="17" spans="1:4" x14ac:dyDescent="0.35">
      <c r="A17" s="2" t="s">
        <v>24</v>
      </c>
      <c r="B17" s="9">
        <v>0.39676113360323889</v>
      </c>
      <c r="C17" s="9">
        <v>0.63275434243176176</v>
      </c>
      <c r="D17" s="9">
        <v>0.54307692307692312</v>
      </c>
    </row>
    <row r="18" spans="1:4" x14ac:dyDescent="0.35">
      <c r="A18" s="2" t="s">
        <v>1</v>
      </c>
      <c r="B18" s="9">
        <v>1</v>
      </c>
      <c r="C18" s="9">
        <v>1</v>
      </c>
      <c r="D18" s="9">
        <v>1</v>
      </c>
    </row>
    <row r="20" spans="1:4" x14ac:dyDescent="0.35">
      <c r="A20" s="1" t="s">
        <v>11</v>
      </c>
      <c r="B20" s="1" t="s">
        <v>25</v>
      </c>
    </row>
    <row r="21" spans="1:4" x14ac:dyDescent="0.35">
      <c r="A21" s="1" t="s">
        <v>0</v>
      </c>
      <c r="B21" t="s">
        <v>23</v>
      </c>
      <c r="C21" t="s">
        <v>24</v>
      </c>
      <c r="D21" t="s">
        <v>1</v>
      </c>
    </row>
    <row r="22" spans="1:4" x14ac:dyDescent="0.35">
      <c r="A22" s="2" t="s">
        <v>46</v>
      </c>
      <c r="B22" s="12">
        <v>172</v>
      </c>
      <c r="C22" s="12">
        <v>165</v>
      </c>
      <c r="D22" s="12">
        <v>337</v>
      </c>
    </row>
    <row r="23" spans="1:4" x14ac:dyDescent="0.35">
      <c r="A23" s="2" t="s">
        <v>47</v>
      </c>
      <c r="B23" s="12">
        <v>81</v>
      </c>
      <c r="C23" s="12">
        <v>105</v>
      </c>
      <c r="D23" s="12">
        <v>186</v>
      </c>
    </row>
    <row r="24" spans="1:4" x14ac:dyDescent="0.35">
      <c r="A24" s="2" t="s">
        <v>48</v>
      </c>
      <c r="B24" s="12">
        <v>44</v>
      </c>
      <c r="C24" s="12">
        <v>83</v>
      </c>
      <c r="D24" s="12">
        <v>127</v>
      </c>
    </row>
    <row r="25" spans="1:4" x14ac:dyDescent="0.35">
      <c r="A25" s="2" t="s">
        <v>1</v>
      </c>
      <c r="B25" s="12">
        <v>297</v>
      </c>
      <c r="C25" s="12">
        <v>353</v>
      </c>
      <c r="D25" s="12">
        <v>650</v>
      </c>
    </row>
    <row r="27" spans="1:4" x14ac:dyDescent="0.35">
      <c r="A27" s="1" t="s">
        <v>49</v>
      </c>
      <c r="B27" s="1" t="s">
        <v>25</v>
      </c>
    </row>
    <row r="28" spans="1:4" x14ac:dyDescent="0.35">
      <c r="A28" s="1" t="s">
        <v>0</v>
      </c>
      <c r="B28" t="s">
        <v>23</v>
      </c>
      <c r="C28" t="s">
        <v>24</v>
      </c>
      <c r="D28" t="s">
        <v>1</v>
      </c>
    </row>
    <row r="29" spans="1:4" x14ac:dyDescent="0.35">
      <c r="A29" s="2" t="s">
        <v>2</v>
      </c>
      <c r="B29" s="13">
        <v>3.2258064516129031E-2</v>
      </c>
      <c r="C29" s="13">
        <v>4.1379310344827586E-2</v>
      </c>
      <c r="D29" s="13">
        <v>3.6666666666666667E-2</v>
      </c>
    </row>
    <row r="30" spans="1:4" x14ac:dyDescent="0.35">
      <c r="A30" s="2" t="s">
        <v>3</v>
      </c>
      <c r="B30" s="13">
        <v>0.13877551020408163</v>
      </c>
      <c r="C30" s="13">
        <v>0.17355371900826447</v>
      </c>
      <c r="D30" s="13">
        <v>0.15605749486652978</v>
      </c>
    </row>
    <row r="31" spans="1:4" x14ac:dyDescent="0.35">
      <c r="A31" s="2" t="s">
        <v>4</v>
      </c>
      <c r="B31" s="13">
        <v>0.34220532319391633</v>
      </c>
      <c r="C31" s="13">
        <v>0.35842293906810035</v>
      </c>
      <c r="D31" s="13">
        <v>0.35055350553505538</v>
      </c>
    </row>
    <row r="32" spans="1:4" x14ac:dyDescent="0.35">
      <c r="A32" s="2" t="s">
        <v>5</v>
      </c>
      <c r="B32" s="13">
        <v>0.44781144781144783</v>
      </c>
      <c r="C32" s="13">
        <v>0.53541076487252126</v>
      </c>
      <c r="D32" s="13">
        <v>0.49538461538461537</v>
      </c>
    </row>
    <row r="33" spans="1:4" x14ac:dyDescent="0.35">
      <c r="A33" s="2" t="s">
        <v>1</v>
      </c>
      <c r="B33" s="13">
        <v>0.88215488215488214</v>
      </c>
      <c r="C33" s="13">
        <v>0.95467422096317278</v>
      </c>
      <c r="D33" s="13">
        <v>0.92153846153846153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8EBC-FB21-43A9-B2F1-22A0CD89EDDC}">
  <dimension ref="A1:U5"/>
  <sheetViews>
    <sheetView showGridLines="0" tabSelected="1" zoomScale="50" zoomScaleNormal="50" workbookViewId="0">
      <selection activeCell="AA10" sqref="AA10"/>
    </sheetView>
  </sheetViews>
  <sheetFormatPr defaultRowHeight="14.5" x14ac:dyDescent="0.35"/>
  <cols>
    <col min="5" max="5" width="8.81640625" customWidth="1"/>
    <col min="6" max="6" width="12.90625" bestFit="1" customWidth="1"/>
  </cols>
  <sheetData>
    <row r="1" spans="1:21" ht="17.5" customHeight="1" x14ac:dyDescent="0.35">
      <c r="A1" s="10" t="s">
        <v>40</v>
      </c>
      <c r="B1" s="11"/>
      <c r="C1" s="11"/>
      <c r="D1" s="11"/>
      <c r="F1" s="8" t="s">
        <v>41</v>
      </c>
      <c r="G1" s="9">
        <f>G5/F5</f>
        <v>0.54307692307692312</v>
      </c>
      <c r="H1" s="9">
        <f>H5/F5</f>
        <v>0.45692307692307693</v>
      </c>
      <c r="S1" s="14" t="s">
        <v>50</v>
      </c>
      <c r="T1" s="14"/>
      <c r="U1" s="14"/>
    </row>
    <row r="2" spans="1:21" ht="17.5" customHeight="1" x14ac:dyDescent="0.35"/>
    <row r="3" spans="1:21" ht="17.5" customHeight="1" x14ac:dyDescent="0.35"/>
    <row r="4" spans="1:21" ht="17.5" customHeight="1" x14ac:dyDescent="0.35">
      <c r="I4" t="s">
        <v>43</v>
      </c>
      <c r="J4" s="9">
        <f>Headline!C10</f>
        <v>0.91501416430594906</v>
      </c>
      <c r="K4" s="9">
        <f>Headline!B10</f>
        <v>0.81818181818181823</v>
      </c>
      <c r="L4" t="s">
        <v>44</v>
      </c>
      <c r="M4" s="9">
        <f>Headline!B17</f>
        <v>0.39676113360323889</v>
      </c>
      <c r="N4" s="9">
        <f>Headline!B16</f>
        <v>0.60323886639676116</v>
      </c>
    </row>
    <row r="5" spans="1:21" ht="17.5" customHeight="1" x14ac:dyDescent="0.35">
      <c r="F5">
        <f>Headline!B6</f>
        <v>650</v>
      </c>
      <c r="G5">
        <f>+Headline!B5</f>
        <v>353</v>
      </c>
      <c r="H5">
        <f>+Headline!B4</f>
        <v>297</v>
      </c>
      <c r="I5" t="s">
        <v>42</v>
      </c>
      <c r="J5" s="9">
        <f>Headline!C11</f>
        <v>8.4985835694050993E-2</v>
      </c>
      <c r="K5" s="9">
        <f>Headline!B11</f>
        <v>0.18181818181818182</v>
      </c>
      <c r="L5" t="s">
        <v>45</v>
      </c>
      <c r="M5" s="9">
        <f>Headline!C17</f>
        <v>0.63275434243176176</v>
      </c>
      <c r="N5" s="9">
        <f>Headline!C16</f>
        <v>0.36724565756823824</v>
      </c>
      <c r="S5" s="9">
        <f>Headline!D33</f>
        <v>0.92153846153846153</v>
      </c>
      <c r="T5" s="9">
        <f>Headline!C33</f>
        <v>0.95467422096317278</v>
      </c>
      <c r="U5" s="9">
        <f>+Headline!B33</f>
        <v>0.88215488215488214</v>
      </c>
    </row>
  </sheetData>
  <mergeCells count="2">
    <mergeCell ref="A1:D1"/>
    <mergeCell ref="S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BC9BC-4F7F-4C3D-8F26-1003E84B8BED}">
  <dimension ref="A1"/>
  <sheetViews>
    <sheetView workbookViewId="0">
      <selection activeCell="E11" sqref="E11"/>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F53F-798B-4E25-8111-A65A597E08EA}">
  <dimension ref="A3:C8"/>
  <sheetViews>
    <sheetView workbookViewId="0">
      <selection activeCell="C5" sqref="C5"/>
    </sheetView>
  </sheetViews>
  <sheetFormatPr defaultRowHeight="14.5" x14ac:dyDescent="0.35"/>
  <cols>
    <col min="1" max="1" width="12.453125" bestFit="1" customWidth="1"/>
    <col min="2" max="2" width="9.90625" bestFit="1" customWidth="1"/>
    <col min="3" max="3" width="8.36328125" bestFit="1" customWidth="1"/>
  </cols>
  <sheetData>
    <row r="3" spans="1:3" x14ac:dyDescent="0.35">
      <c r="A3" s="1" t="s">
        <v>0</v>
      </c>
      <c r="B3" t="s">
        <v>36</v>
      </c>
      <c r="C3" t="s">
        <v>39</v>
      </c>
    </row>
    <row r="4" spans="1:3" x14ac:dyDescent="0.35">
      <c r="A4" s="2" t="s">
        <v>2</v>
      </c>
      <c r="B4" s="4">
        <v>11</v>
      </c>
      <c r="C4" s="12">
        <v>11</v>
      </c>
    </row>
    <row r="5" spans="1:3" x14ac:dyDescent="0.35">
      <c r="A5" s="2" t="s">
        <v>3</v>
      </c>
      <c r="B5" s="4">
        <v>76</v>
      </c>
      <c r="C5" s="12">
        <v>92</v>
      </c>
    </row>
    <row r="6" spans="1:3" x14ac:dyDescent="0.35">
      <c r="A6" s="2" t="s">
        <v>4</v>
      </c>
      <c r="B6" s="4">
        <v>190</v>
      </c>
      <c r="C6" s="12">
        <v>400</v>
      </c>
    </row>
    <row r="7" spans="1:3" x14ac:dyDescent="0.35">
      <c r="A7" s="2" t="s">
        <v>5</v>
      </c>
      <c r="B7" s="4">
        <v>322</v>
      </c>
      <c r="C7" s="12">
        <v>676</v>
      </c>
    </row>
    <row r="8" spans="1:3" x14ac:dyDescent="0.35">
      <c r="A8" s="2" t="s">
        <v>1</v>
      </c>
      <c r="B8" s="4">
        <v>599</v>
      </c>
      <c r="C8" s="12">
        <v>1179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C5D0-3A08-48A7-BE65-B65F6658B3E5}">
  <dimension ref="A3:D9"/>
  <sheetViews>
    <sheetView workbookViewId="0">
      <selection activeCell="H15" sqref="H15"/>
    </sheetView>
  </sheetViews>
  <sheetFormatPr defaultRowHeight="14.5" x14ac:dyDescent="0.35"/>
  <cols>
    <col min="1" max="1" width="12.453125" bestFit="1" customWidth="1"/>
    <col min="2" max="2" width="15.6328125" bestFit="1" customWidth="1"/>
    <col min="3" max="3" width="8.81640625" bestFit="1" customWidth="1"/>
    <col min="4" max="4" width="10.36328125" bestFit="1" customWidth="1"/>
    <col min="5" max="5" width="10.26953125" bestFit="1" customWidth="1"/>
    <col min="6" max="6" width="8.81640625" bestFit="1" customWidth="1"/>
    <col min="7" max="7" width="14.453125" bestFit="1" customWidth="1"/>
    <col min="8" max="8" width="19.1796875" bestFit="1" customWidth="1"/>
  </cols>
  <sheetData>
    <row r="3" spans="1:4" x14ac:dyDescent="0.35">
      <c r="A3" s="1" t="s">
        <v>36</v>
      </c>
      <c r="B3" s="1" t="s">
        <v>25</v>
      </c>
    </row>
    <row r="4" spans="1:4" x14ac:dyDescent="0.35">
      <c r="A4" s="1" t="s">
        <v>0</v>
      </c>
      <c r="B4" t="s">
        <v>37</v>
      </c>
      <c r="C4" t="s">
        <v>38</v>
      </c>
      <c r="D4" t="s">
        <v>1</v>
      </c>
    </row>
    <row r="5" spans="1:4" x14ac:dyDescent="0.35">
      <c r="A5" s="2" t="s">
        <v>2</v>
      </c>
      <c r="B5" s="4">
        <v>11</v>
      </c>
      <c r="C5" s="4"/>
      <c r="D5" s="4">
        <v>11</v>
      </c>
    </row>
    <row r="6" spans="1:4" x14ac:dyDescent="0.35">
      <c r="A6" s="2" t="s">
        <v>3</v>
      </c>
      <c r="B6" s="4">
        <v>65</v>
      </c>
      <c r="C6" s="4">
        <v>11</v>
      </c>
      <c r="D6" s="4">
        <v>76</v>
      </c>
    </row>
    <row r="7" spans="1:4" x14ac:dyDescent="0.35">
      <c r="A7" s="2" t="s">
        <v>4</v>
      </c>
      <c r="B7" s="4">
        <v>35</v>
      </c>
      <c r="C7" s="4">
        <v>155</v>
      </c>
      <c r="D7" s="4">
        <v>190</v>
      </c>
    </row>
    <row r="8" spans="1:4" x14ac:dyDescent="0.35">
      <c r="A8" s="2" t="s">
        <v>5</v>
      </c>
      <c r="B8" s="4">
        <v>76</v>
      </c>
      <c r="C8" s="4">
        <v>246</v>
      </c>
      <c r="D8" s="4">
        <v>322</v>
      </c>
    </row>
    <row r="9" spans="1:4" x14ac:dyDescent="0.35">
      <c r="A9" s="2" t="s">
        <v>1</v>
      </c>
      <c r="B9" s="4">
        <v>187</v>
      </c>
      <c r="C9" s="4">
        <v>412</v>
      </c>
      <c r="D9" s="4">
        <v>599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A598-235E-4A51-81A6-2968FAC689C4}">
  <dimension ref="A3:D12"/>
  <sheetViews>
    <sheetView workbookViewId="0">
      <selection activeCell="D6" sqref="D6"/>
    </sheetView>
  </sheetViews>
  <sheetFormatPr defaultRowHeight="14.5" x14ac:dyDescent="0.35"/>
  <cols>
    <col min="1" max="1" width="12.54296875" bestFit="1" customWidth="1"/>
    <col min="2" max="2" width="15.6328125" bestFit="1" customWidth="1"/>
    <col min="3" max="3" width="3.81640625" bestFit="1" customWidth="1"/>
    <col min="4" max="4" width="10.36328125" bestFit="1" customWidth="1"/>
  </cols>
  <sheetData>
    <row r="3" spans="1:4" x14ac:dyDescent="0.35">
      <c r="A3" s="1" t="s">
        <v>11</v>
      </c>
      <c r="B3" s="1" t="s">
        <v>25</v>
      </c>
    </row>
    <row r="4" spans="1:4" x14ac:dyDescent="0.35">
      <c r="A4" s="1" t="s">
        <v>0</v>
      </c>
      <c r="B4" t="s">
        <v>26</v>
      </c>
      <c r="C4" t="s">
        <v>27</v>
      </c>
      <c r="D4" t="s">
        <v>1</v>
      </c>
    </row>
    <row r="5" spans="1:4" x14ac:dyDescent="0.35">
      <c r="A5" s="2" t="s">
        <v>29</v>
      </c>
      <c r="B5" s="12">
        <v>25</v>
      </c>
      <c r="C5" s="12">
        <v>50</v>
      </c>
      <c r="D5" s="12">
        <v>75</v>
      </c>
    </row>
    <row r="6" spans="1:4" x14ac:dyDescent="0.35">
      <c r="A6" s="2" t="s">
        <v>30</v>
      </c>
      <c r="B6" s="12">
        <v>86</v>
      </c>
      <c r="C6" s="12">
        <v>27</v>
      </c>
      <c r="D6" s="12">
        <v>113</v>
      </c>
    </row>
    <row r="7" spans="1:4" x14ac:dyDescent="0.35">
      <c r="A7" s="2" t="s">
        <v>31</v>
      </c>
      <c r="B7" s="12">
        <v>21</v>
      </c>
      <c r="C7" s="12">
        <v>41</v>
      </c>
      <c r="D7" s="12">
        <v>62</v>
      </c>
    </row>
    <row r="8" spans="1:4" x14ac:dyDescent="0.35">
      <c r="A8" s="2" t="s">
        <v>32</v>
      </c>
      <c r="B8" s="12">
        <v>34</v>
      </c>
      <c r="C8" s="12">
        <v>90</v>
      </c>
      <c r="D8" s="12">
        <v>124</v>
      </c>
    </row>
    <row r="9" spans="1:4" x14ac:dyDescent="0.35">
      <c r="A9" s="2" t="s">
        <v>33</v>
      </c>
      <c r="B9" s="12">
        <v>21</v>
      </c>
      <c r="C9" s="12">
        <v>73</v>
      </c>
      <c r="D9" s="12">
        <v>94</v>
      </c>
    </row>
    <row r="10" spans="1:4" x14ac:dyDescent="0.35">
      <c r="A10" s="2" t="s">
        <v>34</v>
      </c>
      <c r="B10" s="12">
        <v>33</v>
      </c>
      <c r="C10" s="12">
        <v>81</v>
      </c>
      <c r="D10" s="12">
        <v>114</v>
      </c>
    </row>
    <row r="11" spans="1:4" x14ac:dyDescent="0.35">
      <c r="A11" s="2" t="s">
        <v>35</v>
      </c>
      <c r="B11" s="12">
        <v>27</v>
      </c>
      <c r="C11" s="12">
        <v>41</v>
      </c>
      <c r="D11" s="12">
        <v>68</v>
      </c>
    </row>
    <row r="12" spans="1:4" x14ac:dyDescent="0.35">
      <c r="A12" s="2" t="s">
        <v>1</v>
      </c>
      <c r="B12" s="12">
        <v>247</v>
      </c>
      <c r="C12" s="12">
        <v>403</v>
      </c>
      <c r="D12" s="12">
        <v>650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F95D6-A9F5-4638-8BE9-6DA865677F1A}">
  <dimension ref="A3:D12"/>
  <sheetViews>
    <sheetView topLeftCell="A3" workbookViewId="0">
      <selection activeCell="B16" sqref="B16"/>
    </sheetView>
  </sheetViews>
  <sheetFormatPr defaultRowHeight="14.5" x14ac:dyDescent="0.35"/>
  <cols>
    <col min="1" max="1" width="15.54296875" bestFit="1" customWidth="1"/>
    <col min="2" max="2" width="15.6328125" bestFit="1" customWidth="1"/>
    <col min="3" max="3" width="2.81640625" bestFit="1" customWidth="1"/>
    <col min="4" max="4" width="10.36328125" bestFit="1" customWidth="1"/>
    <col min="5" max="5" width="15.54296875" bestFit="1" customWidth="1"/>
    <col min="6" max="6" width="26.453125" bestFit="1" customWidth="1"/>
    <col min="7" max="7" width="20.08984375" bestFit="1" customWidth="1"/>
  </cols>
  <sheetData>
    <row r="3" spans="1:4" x14ac:dyDescent="0.35">
      <c r="A3" s="6" t="s">
        <v>28</v>
      </c>
      <c r="B3" s="6" t="s">
        <v>25</v>
      </c>
      <c r="C3" s="5"/>
      <c r="D3" s="5"/>
    </row>
    <row r="4" spans="1:4" x14ac:dyDescent="0.35">
      <c r="A4" s="6" t="s">
        <v>0</v>
      </c>
      <c r="B4" s="5" t="s">
        <v>26</v>
      </c>
      <c r="C4" s="5" t="s">
        <v>27</v>
      </c>
      <c r="D4" s="5" t="s">
        <v>1</v>
      </c>
    </row>
    <row r="5" spans="1:4" x14ac:dyDescent="0.35">
      <c r="A5" s="7" t="s">
        <v>16</v>
      </c>
      <c r="B5" s="5">
        <v>91.143714285714296</v>
      </c>
      <c r="C5" s="5">
        <v>23.904666666666667</v>
      </c>
      <c r="D5" s="5">
        <v>48.676947368421054</v>
      </c>
    </row>
    <row r="6" spans="1:4" x14ac:dyDescent="0.35">
      <c r="A6" s="7" t="s">
        <v>17</v>
      </c>
      <c r="B6" s="5">
        <v>78.171999999999997</v>
      </c>
      <c r="C6" s="5">
        <v>16.315384615384616</v>
      </c>
      <c r="D6" s="5">
        <v>43.209565217391308</v>
      </c>
    </row>
    <row r="7" spans="1:4" x14ac:dyDescent="0.35">
      <c r="A7" s="7" t="s">
        <v>18</v>
      </c>
      <c r="B7" s="5">
        <v>88.37639999999999</v>
      </c>
      <c r="C7" s="5">
        <v>16.812686567164178</v>
      </c>
      <c r="D7" s="5">
        <v>36.259347826086959</v>
      </c>
    </row>
    <row r="8" spans="1:4" x14ac:dyDescent="0.35">
      <c r="A8" s="7" t="s">
        <v>19</v>
      </c>
      <c r="B8" s="5">
        <v>86.516874999999999</v>
      </c>
      <c r="C8" s="5">
        <v>18.346499999999999</v>
      </c>
      <c r="D8" s="5">
        <v>42.057934782608697</v>
      </c>
    </row>
    <row r="9" spans="1:4" x14ac:dyDescent="0.35">
      <c r="A9" s="7" t="s">
        <v>20</v>
      </c>
      <c r="B9" s="5">
        <v>79.72475</v>
      </c>
      <c r="C9" s="5">
        <v>24.67</v>
      </c>
      <c r="D9" s="5">
        <v>48.097553191489361</v>
      </c>
    </row>
    <row r="10" spans="1:4" x14ac:dyDescent="0.35">
      <c r="A10" s="7" t="s">
        <v>21</v>
      </c>
      <c r="B10" s="5">
        <v>70.618648648648644</v>
      </c>
      <c r="C10" s="5">
        <v>17.101060606060607</v>
      </c>
      <c r="D10" s="5">
        <v>36.325825242718444</v>
      </c>
    </row>
    <row r="11" spans="1:4" x14ac:dyDescent="0.35">
      <c r="A11" s="7" t="s">
        <v>22</v>
      </c>
      <c r="B11" s="5">
        <v>83.07692307692308</v>
      </c>
      <c r="C11" s="5">
        <v>13.8972</v>
      </c>
      <c r="D11" s="5">
        <v>44.211910112359554</v>
      </c>
    </row>
    <row r="12" spans="1:4" x14ac:dyDescent="0.35">
      <c r="A12" s="7" t="s">
        <v>1</v>
      </c>
      <c r="B12" s="5">
        <v>82.002983870967753</v>
      </c>
      <c r="C12" s="5">
        <v>18.742371638141808</v>
      </c>
      <c r="D12" s="5">
        <v>42.621567732115679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CAB5-E713-48F5-8578-DCC6F1AF2ACB}">
  <dimension ref="A1:C26"/>
  <sheetViews>
    <sheetView workbookViewId="0">
      <selection activeCell="L2" sqref="L2"/>
    </sheetView>
  </sheetViews>
  <sheetFormatPr defaultRowHeight="14.5" x14ac:dyDescent="0.35"/>
  <cols>
    <col min="1" max="1" width="12.453125" bestFit="1" customWidth="1"/>
    <col min="2" max="2" width="12.54296875" bestFit="1" customWidth="1"/>
    <col min="3" max="3" width="11" bestFit="1" customWidth="1"/>
    <col min="4" max="10" width="8.26953125" bestFit="1" customWidth="1"/>
    <col min="11" max="13" width="9.26953125" bestFit="1" customWidth="1"/>
    <col min="14" max="22" width="8.26953125" bestFit="1" customWidth="1"/>
    <col min="23" max="25" width="9.26953125" bestFit="1" customWidth="1"/>
    <col min="26" max="34" width="8.26953125" bestFit="1" customWidth="1"/>
    <col min="35" max="37" width="9.26953125" bestFit="1" customWidth="1"/>
    <col min="38" max="46" width="8.26953125" bestFit="1" customWidth="1"/>
    <col min="47" max="49" width="9.26953125" bestFit="1" customWidth="1"/>
    <col min="50" max="50" width="10.36328125" bestFit="1" customWidth="1"/>
  </cols>
  <sheetData>
    <row r="1" spans="1:3" x14ac:dyDescent="0.35">
      <c r="A1" s="1" t="s">
        <v>0</v>
      </c>
      <c r="B1" t="s">
        <v>11</v>
      </c>
      <c r="C1" t="s">
        <v>12</v>
      </c>
    </row>
    <row r="2" spans="1:3" x14ac:dyDescent="0.35">
      <c r="A2" s="2" t="s">
        <v>2</v>
      </c>
      <c r="B2" s="12"/>
      <c r="C2" s="12"/>
    </row>
    <row r="3" spans="1:3" x14ac:dyDescent="0.35">
      <c r="A3" s="3" t="s">
        <v>6</v>
      </c>
      <c r="B3" s="12">
        <v>229</v>
      </c>
      <c r="C3" s="4">
        <v>3</v>
      </c>
    </row>
    <row r="4" spans="1:3" x14ac:dyDescent="0.35">
      <c r="A4" s="3" t="s">
        <v>7</v>
      </c>
      <c r="B4" s="12">
        <v>251</v>
      </c>
      <c r="C4" s="4">
        <v>21</v>
      </c>
    </row>
    <row r="5" spans="1:3" x14ac:dyDescent="0.35">
      <c r="A5" s="3" t="s">
        <v>8</v>
      </c>
      <c r="B5" s="12">
        <v>275</v>
      </c>
      <c r="C5" s="4">
        <v>24</v>
      </c>
    </row>
    <row r="6" spans="1:3" x14ac:dyDescent="0.35">
      <c r="A6" s="3" t="s">
        <v>9</v>
      </c>
      <c r="B6" s="12">
        <v>300</v>
      </c>
      <c r="C6" s="4">
        <v>30</v>
      </c>
    </row>
    <row r="7" spans="1:3" x14ac:dyDescent="0.35">
      <c r="A7" s="2" t="s">
        <v>10</v>
      </c>
      <c r="B7" s="12">
        <v>300</v>
      </c>
      <c r="C7" s="4">
        <v>78</v>
      </c>
    </row>
    <row r="8" spans="1:3" x14ac:dyDescent="0.35">
      <c r="A8" s="2" t="s">
        <v>3</v>
      </c>
      <c r="B8" s="12"/>
      <c r="C8" s="12"/>
    </row>
    <row r="9" spans="1:3" x14ac:dyDescent="0.35">
      <c r="A9" s="3" t="s">
        <v>6</v>
      </c>
      <c r="B9" s="12">
        <v>338</v>
      </c>
      <c r="C9" s="4">
        <v>37</v>
      </c>
    </row>
    <row r="10" spans="1:3" x14ac:dyDescent="0.35">
      <c r="A10" s="3" t="s">
        <v>7</v>
      </c>
      <c r="B10" s="12">
        <v>361</v>
      </c>
      <c r="C10" s="4">
        <v>22</v>
      </c>
    </row>
    <row r="11" spans="1:3" x14ac:dyDescent="0.35">
      <c r="A11" s="3" t="s">
        <v>8</v>
      </c>
      <c r="B11" s="12">
        <v>403</v>
      </c>
      <c r="C11" s="4">
        <v>47</v>
      </c>
    </row>
    <row r="12" spans="1:3" x14ac:dyDescent="0.35">
      <c r="A12" s="3" t="s">
        <v>9</v>
      </c>
      <c r="B12" s="12">
        <v>487</v>
      </c>
      <c r="C12" s="4">
        <v>74</v>
      </c>
    </row>
    <row r="13" spans="1:3" x14ac:dyDescent="0.35">
      <c r="A13" s="2" t="s">
        <v>13</v>
      </c>
      <c r="B13" s="12">
        <v>487</v>
      </c>
      <c r="C13" s="4">
        <v>180</v>
      </c>
    </row>
    <row r="14" spans="1:3" x14ac:dyDescent="0.35">
      <c r="A14" s="2" t="s">
        <v>4</v>
      </c>
      <c r="B14" s="12"/>
      <c r="C14" s="12"/>
    </row>
    <row r="15" spans="1:3" x14ac:dyDescent="0.35">
      <c r="A15" s="3" t="s">
        <v>6</v>
      </c>
      <c r="B15" s="12">
        <v>477</v>
      </c>
      <c r="C15" s="4">
        <v>66</v>
      </c>
    </row>
    <row r="16" spans="1:3" x14ac:dyDescent="0.35">
      <c r="A16" s="3" t="s">
        <v>7</v>
      </c>
      <c r="B16" s="12">
        <v>488</v>
      </c>
      <c r="C16" s="4">
        <v>114</v>
      </c>
    </row>
    <row r="17" spans="1:3" x14ac:dyDescent="0.35">
      <c r="A17" s="3" t="s">
        <v>8</v>
      </c>
      <c r="B17" s="12">
        <v>539</v>
      </c>
      <c r="C17" s="4">
        <v>176</v>
      </c>
    </row>
    <row r="18" spans="1:3" x14ac:dyDescent="0.35">
      <c r="A18" s="3" t="s">
        <v>9</v>
      </c>
      <c r="B18" s="12">
        <v>542</v>
      </c>
      <c r="C18" s="4">
        <v>130</v>
      </c>
    </row>
    <row r="19" spans="1:3" x14ac:dyDescent="0.35">
      <c r="A19" s="2" t="s">
        <v>14</v>
      </c>
      <c r="B19" s="12">
        <v>542</v>
      </c>
      <c r="C19" s="4">
        <v>486</v>
      </c>
    </row>
    <row r="20" spans="1:3" x14ac:dyDescent="0.35">
      <c r="A20" s="2" t="s">
        <v>5</v>
      </c>
      <c r="B20" s="12"/>
      <c r="C20" s="12"/>
    </row>
    <row r="21" spans="1:3" x14ac:dyDescent="0.35">
      <c r="A21" s="3" t="s">
        <v>6</v>
      </c>
      <c r="B21" s="12">
        <v>559</v>
      </c>
      <c r="C21" s="4">
        <v>127</v>
      </c>
    </row>
    <row r="22" spans="1:3" x14ac:dyDescent="0.35">
      <c r="A22" s="3" t="s">
        <v>7</v>
      </c>
      <c r="B22" s="12">
        <v>703</v>
      </c>
      <c r="C22" s="4">
        <v>298</v>
      </c>
    </row>
    <row r="23" spans="1:3" x14ac:dyDescent="0.35">
      <c r="A23" s="3" t="s">
        <v>8</v>
      </c>
      <c r="B23" s="12">
        <v>728</v>
      </c>
      <c r="C23" s="4">
        <v>278</v>
      </c>
    </row>
    <row r="24" spans="1:3" x14ac:dyDescent="0.35">
      <c r="A24" s="3" t="s">
        <v>9</v>
      </c>
      <c r="B24" s="12">
        <v>650</v>
      </c>
      <c r="C24" s="4">
        <v>149</v>
      </c>
    </row>
    <row r="25" spans="1:3" x14ac:dyDescent="0.35">
      <c r="A25" s="2" t="s">
        <v>15</v>
      </c>
      <c r="B25" s="12">
        <v>650</v>
      </c>
      <c r="C25" s="4">
        <v>852</v>
      </c>
    </row>
    <row r="26" spans="1:3" x14ac:dyDescent="0.35">
      <c r="A26" s="2" t="s">
        <v>1</v>
      </c>
      <c r="B26" s="12">
        <v>650</v>
      </c>
      <c r="C26" s="4">
        <v>1596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3BBD6A18-740A-4930-AC61-BAB6F5297642}">
  <ds:schemaRefs/>
</ds:datastoreItem>
</file>

<file path=customXml/itemProps2.xml><?xml version="1.0" encoding="utf-8"?>
<ds:datastoreItem xmlns:ds="http://schemas.openxmlformats.org/officeDocument/2006/customXml" ds:itemID="{DB9A1466-D627-4446-9BE9-7F4C7F3A6E24}">
  <ds:schemaRefs>
    <ds:schemaRef ds:uri="http://schemas.microsoft.com/DataMashup"/>
  </ds:schemaRefs>
</ds:datastoreItem>
</file>

<file path=customXml/itemProps3.xml><?xml version="1.0" encoding="utf-8"?>
<ds:datastoreItem xmlns:ds="http://schemas.openxmlformats.org/officeDocument/2006/customXml" ds:itemID="{108BFA20-1C6B-422F-B47D-D2D66C31E742}">
  <ds:schemaRefs/>
</ds:datastoreItem>
</file>

<file path=customXml/itemProps4.xml><?xml version="1.0" encoding="utf-8"?>
<ds:datastoreItem xmlns:ds="http://schemas.openxmlformats.org/officeDocument/2006/customXml" ds:itemID="{24547937-3BA7-42E1-BEF6-0778F505FAB8}">
  <ds:schemaRefs/>
</ds:datastoreItem>
</file>

<file path=customXml/itemProps5.xml><?xml version="1.0" encoding="utf-8"?>
<ds:datastoreItem xmlns:ds="http://schemas.openxmlformats.org/officeDocument/2006/customXml" ds:itemID="{1C108F87-DDF1-45EE-A162-A47E04B3DED3}">
  <ds:schemaRefs/>
</ds:datastoreItem>
</file>

<file path=customXml/itemProps6.xml><?xml version="1.0" encoding="utf-8"?>
<ds:datastoreItem xmlns:ds="http://schemas.openxmlformats.org/officeDocument/2006/customXml" ds:itemID="{A69D164D-8711-4382-9707-0983E951CC29}">
  <ds:schemaRefs/>
</ds:datastoreItem>
</file>

<file path=customXml/itemProps7.xml><?xml version="1.0" encoding="utf-8"?>
<ds:datastoreItem xmlns:ds="http://schemas.openxmlformats.org/officeDocument/2006/customXml" ds:itemID="{6CFA4CA3-DC67-41B0-8ACD-5CB97216EFF6}">
  <ds:schemaRefs/>
</ds:datastoreItem>
</file>

<file path=customXml/itemProps8.xml><?xml version="1.0" encoding="utf-8"?>
<ds:datastoreItem xmlns:ds="http://schemas.openxmlformats.org/officeDocument/2006/customXml" ds:itemID="{81FB65A9-F501-4A7B-B34F-84687AC72A73}">
  <ds:schemaRefs/>
</ds:datastoreItem>
</file>

<file path=customXml/itemProps9.xml><?xml version="1.0" encoding="utf-8"?>
<ds:datastoreItem xmlns:ds="http://schemas.openxmlformats.org/officeDocument/2006/customXml" ds:itemID="{C6A76F90-A3DE-4FAD-8976-81E53A6DB269}">
  <ds:schemaRefs/>
</ds:datastoreItem>
</file>

<file path=customXml/itemProps10.xml><?xml version="1.0" encoding="utf-8"?>
<ds:datastoreItem xmlns:ds="http://schemas.openxmlformats.org/officeDocument/2006/customXml" ds:itemID="{F7B34938-FB5A-4FF2-8AD7-C1F6500CF0C5}">
  <ds:schemaRefs/>
</ds:datastoreItem>
</file>

<file path=customXml/itemProps11.xml><?xml version="1.0" encoding="utf-8"?>
<ds:datastoreItem xmlns:ds="http://schemas.openxmlformats.org/officeDocument/2006/customXml" ds:itemID="{C98A69AA-E1DF-4CD2-A5E9-8A582BA0CE76}">
  <ds:schemaRefs/>
</ds:datastoreItem>
</file>

<file path=customXml/itemProps12.xml><?xml version="1.0" encoding="utf-8"?>
<ds:datastoreItem xmlns:ds="http://schemas.openxmlformats.org/officeDocument/2006/customXml" ds:itemID="{2F278685-75E6-4063-AB64-A5576CA81C73}">
  <ds:schemaRefs/>
</ds:datastoreItem>
</file>

<file path=customXml/itemProps13.xml><?xml version="1.0" encoding="utf-8"?>
<ds:datastoreItem xmlns:ds="http://schemas.openxmlformats.org/officeDocument/2006/customXml" ds:itemID="{9573F82A-9AAA-4A97-8078-8EF1B9313943}">
  <ds:schemaRefs/>
</ds:datastoreItem>
</file>

<file path=customXml/itemProps14.xml><?xml version="1.0" encoding="utf-8"?>
<ds:datastoreItem xmlns:ds="http://schemas.openxmlformats.org/officeDocument/2006/customXml" ds:itemID="{AE842016-F208-4708-980A-245D53EF9456}">
  <ds:schemaRefs/>
</ds:datastoreItem>
</file>

<file path=customXml/itemProps15.xml><?xml version="1.0" encoding="utf-8"?>
<ds:datastoreItem xmlns:ds="http://schemas.openxmlformats.org/officeDocument/2006/customXml" ds:itemID="{B686B741-8C38-452A-BCF1-799C44DAF085}">
  <ds:schemaRefs/>
</ds:datastoreItem>
</file>

<file path=customXml/itemProps16.xml><?xml version="1.0" encoding="utf-8"?>
<ds:datastoreItem xmlns:ds="http://schemas.openxmlformats.org/officeDocument/2006/customXml" ds:itemID="{5873561D-94B0-427E-AA64-7658E69732DC}">
  <ds:schemaRefs/>
</ds:datastoreItem>
</file>

<file path=customXml/itemProps17.xml><?xml version="1.0" encoding="utf-8"?>
<ds:datastoreItem xmlns:ds="http://schemas.openxmlformats.org/officeDocument/2006/customXml" ds:itemID="{407BE591-38BF-4601-A72C-AB6D395FDCDB}">
  <ds:schemaRefs/>
</ds:datastoreItem>
</file>

<file path=customXml/itemProps18.xml><?xml version="1.0" encoding="utf-8"?>
<ds:datastoreItem xmlns:ds="http://schemas.openxmlformats.org/officeDocument/2006/customXml" ds:itemID="{91D67EEC-B00E-4AD5-BED0-3FA11B737411}">
  <ds:schemaRefs/>
</ds:datastoreItem>
</file>

<file path=customXml/itemProps19.xml><?xml version="1.0" encoding="utf-8"?>
<ds:datastoreItem xmlns:ds="http://schemas.openxmlformats.org/officeDocument/2006/customXml" ds:itemID="{2E9EC600-8502-4909-B878-46BD3153F5D5}">
  <ds:schemaRefs/>
</ds:datastoreItem>
</file>

<file path=customXml/itemProps20.xml><?xml version="1.0" encoding="utf-8"?>
<ds:datastoreItem xmlns:ds="http://schemas.openxmlformats.org/officeDocument/2006/customXml" ds:itemID="{54F74084-FFCC-466F-BA08-7C2B01717126}">
  <ds:schemaRefs/>
</ds:datastoreItem>
</file>

<file path=customXml/itemProps21.xml><?xml version="1.0" encoding="utf-8"?>
<ds:datastoreItem xmlns:ds="http://schemas.openxmlformats.org/officeDocument/2006/customXml" ds:itemID="{99F563C2-55BE-40EF-9D92-A7F1AC8752AD}">
  <ds:schemaRefs/>
</ds:datastoreItem>
</file>

<file path=customXml/itemProps22.xml><?xml version="1.0" encoding="utf-8"?>
<ds:datastoreItem xmlns:ds="http://schemas.openxmlformats.org/officeDocument/2006/customXml" ds:itemID="{654C085C-7F5D-48A2-A899-BD47F70079E8}">
  <ds:schemaRefs/>
</ds:datastoreItem>
</file>

<file path=customXml/itemProps23.xml><?xml version="1.0" encoding="utf-8"?>
<ds:datastoreItem xmlns:ds="http://schemas.openxmlformats.org/officeDocument/2006/customXml" ds:itemID="{09E54196-130E-482F-82C0-8096280A9653}">
  <ds:schemaRefs/>
</ds:datastoreItem>
</file>

<file path=customXml/itemProps24.xml><?xml version="1.0" encoding="utf-8"?>
<ds:datastoreItem xmlns:ds="http://schemas.openxmlformats.org/officeDocument/2006/customXml" ds:itemID="{4EBC05B4-E34E-4D9A-B103-FB11ED1796DB}">
  <ds:schemaRefs/>
</ds:datastoreItem>
</file>

<file path=customXml/itemProps25.xml><?xml version="1.0" encoding="utf-8"?>
<ds:datastoreItem xmlns:ds="http://schemas.openxmlformats.org/officeDocument/2006/customXml" ds:itemID="{17478F40-1EFF-4E7F-BDCE-E774913495D7}">
  <ds:schemaRefs/>
</ds:datastoreItem>
</file>

<file path=customXml/itemProps26.xml><?xml version="1.0" encoding="utf-8"?>
<ds:datastoreItem xmlns:ds="http://schemas.openxmlformats.org/officeDocument/2006/customXml" ds:itemID="{9A3D20CC-921E-42DB-AC43-D74E6461EAEC}">
  <ds:schemaRefs/>
</ds:datastoreItem>
</file>

<file path=customXml/itemProps27.xml><?xml version="1.0" encoding="utf-8"?>
<ds:datastoreItem xmlns:ds="http://schemas.openxmlformats.org/officeDocument/2006/customXml" ds:itemID="{4D889D71-D9EE-4579-9701-4F05A2967E2A}">
  <ds:schemaRefs/>
</ds:datastoreItem>
</file>

<file path=customXml/itemProps28.xml><?xml version="1.0" encoding="utf-8"?>
<ds:datastoreItem xmlns:ds="http://schemas.openxmlformats.org/officeDocument/2006/customXml" ds:itemID="{D6DC43D5-4CA0-4DF3-81F9-0583E5E38CDC}">
  <ds:schemaRefs/>
</ds:datastoreItem>
</file>

<file path=customXml/itemProps29.xml><?xml version="1.0" encoding="utf-8"?>
<ds:datastoreItem xmlns:ds="http://schemas.openxmlformats.org/officeDocument/2006/customXml" ds:itemID="{C22DE49A-0C70-4709-B804-775DC53539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Ethnic</vt:lpstr>
      <vt:lpstr>Headline</vt:lpstr>
      <vt:lpstr>Active Dashboard</vt:lpstr>
      <vt:lpstr>Separation Dashboard</vt:lpstr>
      <vt:lpstr>Separartion</vt:lpstr>
      <vt:lpstr>Tenure Reason</vt:lpstr>
      <vt:lpstr>Region</vt:lpstr>
      <vt:lpstr>Tenure</vt:lpstr>
      <vt:lpstr>Active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Shehzad Hussain Golpa</dc:creator>
  <cp:lastModifiedBy>Shehzad Hussain Golpa</cp:lastModifiedBy>
  <dcterms:created xsi:type="dcterms:W3CDTF">2026-03-27T11:44:36Z</dcterms:created>
  <dcterms:modified xsi:type="dcterms:W3CDTF">2026-03-29T05:27:30Z</dcterms:modified>
</cp:coreProperties>
</file>